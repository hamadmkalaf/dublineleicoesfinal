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1" activeTab="1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arios" sheetId="2" state="visible" r:id="rId2"/>
    <sheet xmlns:r="http://schemas.openxmlformats.org/officeDocument/2006/relationships" name="Presenca por secao" sheetId="3" state="visible" r:id="rId3"/>
    <sheet xmlns:r="http://schemas.openxmlformats.org/officeDocument/2006/relationships" name="Por secao" sheetId="4" state="visible" r:id="rId4"/>
    <sheet xmlns:r="http://schemas.openxmlformats.org/officeDocument/2006/relationships" name="Ranking" sheetId="5" state="visible" r:id="rId5"/>
  </sheets>
  <definedNames>
    <definedName name="_xlnm._FilterDatabase" localSheetId="1" hidden="1">'Mesarios'!$A$1:$F$112</definedName>
    <definedName name="_xlnm._FilterDatabase" localSheetId="2" hidden="1">'Presenca por secao'!$A$1:$O$29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"/>
    <numFmt numFmtId="165" formatCode="+#,##0;-#,##0;0"/>
    <numFmt numFmtId="166" formatCode="0.0%"/>
    <numFmt numFmtId="167" formatCode="+0%;-0%;0%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Calibri"/>
      <family val="2"/>
      <color theme="10"/>
      <sz val="11"/>
      <u val="single"/>
      <scheme val="minor"/>
    </font>
    <font>
      <name val="Arial"/>
      <color rgb="FF0000FF"/>
      <sz val="9"/>
    </font>
    <font>
      <name val="Arial"/>
      <sz val="9"/>
    </font>
    <font>
      <name val="Arial"/>
      <i val="1"/>
      <sz val="9"/>
    </font>
    <font>
      <name val="Arial"/>
      <color rgb="FF0000FF"/>
      <sz val="11"/>
    </font>
    <font>
      <name val="Calibri"/>
      <b val="1"/>
      <color rgb="FFFFFFFF"/>
      <sz val="11"/>
    </font>
    <font>
      <name val="Calibri"/>
      <color rgb="FF808080"/>
      <sz val="9"/>
    </font>
    <font>
      <name val="Calibri"/>
      <i val="1"/>
      <sz val="11"/>
    </font>
    <font>
      <name val="Calibri"/>
      <b val="1"/>
      <sz val="11"/>
    </font>
    <font>
      <name val="Calibri"/>
      <family val="2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3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14" fillId="0" borderId="0" pivotButton="0" quotePrefix="0" xfId="1"/>
    <xf numFmtId="0" fontId="15" fillId="0" borderId="0" pivotButton="0" quotePrefix="0" xfId="0"/>
    <xf numFmtId="3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28"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b val="1"/>
        <color rgb="FF000000"/>
      </font>
      <fill>
        <patternFill patternType="solid">
          <fgColor rgb="FFFFD966"/>
          <bgColor rgb="FFFFD96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 val="1"/>
        <color rgb="FF9C0006"/>
      </font>
      <fill>
        <patternFill patternType="solid">
          <fgColor rgb="FFF8CBAD"/>
        </patternFill>
      </fill>
    </dxf>
    <dxf>
      <fill>
        <patternFill patternType="solid">
          <fgColor rgb="FFFCE4D6"/>
        </patternFill>
      </fill>
    </dxf>
    <dxf>
      <font>
        <b val="1"/>
        <color rgb="FFFFFFFF"/>
      </font>
      <fill>
        <patternFill patternType="solid">
          <fgColor rgb="FF70AD47"/>
          <bgColor rgb="FF70AD47"/>
        </patternFill>
      </fill>
    </dxf>
    <dxf>
      <font>
        <b val="1"/>
        <color rgb="FF000000"/>
      </font>
      <fill>
        <patternFill patternType="solid">
          <fgColor rgb="FFFFD966"/>
          <bgColor rgb="FFFFD96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8CBAD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FFFFFF"/>
      </font>
      <fill>
        <patternFill patternType="solid">
          <fgColor rgb="FF70AD47"/>
        </patternFill>
      </fill>
    </dxf>
    <dxf>
      <fill>
        <patternFill patternType="solid">
          <fgColor rgb="FFFFD966"/>
        </patternFill>
      </fill>
    </dxf>
    <dxf>
      <font>
        <b val="1"/>
        <color rgb="FFFFFFFF"/>
      </font>
      <fill>
        <patternFill patternType="solid">
          <fgColor rgb="FFC00000"/>
        </patternFill>
      </fill>
    </dxf>
    <dxf>
      <font>
        <color rgb="FF595959"/>
      </font>
      <fill>
        <patternFill patternType="solid">
          <fgColor rgb="FFE7E6E6"/>
        </patternFill>
      </fill>
    </dxf>
    <dxf>
      <font>
        <color rgb="FF7F60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D966"/>
        </patternFill>
      </fill>
    </dxf>
    <dxf>
      <fill>
        <patternFill>
          <bgColor rgb="FF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Felipegustavo.ie@outlook.com" TargetMode="External" Id="rId1"/><Relationship Type="http://schemas.openxmlformats.org/officeDocument/2006/relationships/hyperlink" Target="mailto:Ericcount19@hotmail.com" TargetMode="External" Id="rId2"/><Relationship Type="http://schemas.openxmlformats.org/officeDocument/2006/relationships/hyperlink" Target="mailto:ludmilamaiamaciel@gmail.com" TargetMode="External" Id="rId3"/><Relationship Type="http://schemas.openxmlformats.org/officeDocument/2006/relationships/hyperlink" Target="mailto:beabertocco@gmail.com" TargetMode="External" Id="rId4"/><Relationship Type="http://schemas.openxmlformats.org/officeDocument/2006/relationships/hyperlink" Target="mailto:anaclaudiamazurok@gmail.com" TargetMode="External" Id="rId5"/><Relationship Type="http://schemas.openxmlformats.org/officeDocument/2006/relationships/hyperlink" Target="mailto:caiorossiter@gmail.com" TargetMode="External" Id="rId6"/><Relationship Type="http://schemas.openxmlformats.org/officeDocument/2006/relationships/hyperlink" Target="mailto:camilamouramartins1987@gmail.com" TargetMode="External" Id="rId7"/><Relationship Type="http://schemas.openxmlformats.org/officeDocument/2006/relationships/hyperlink" Target="mailto:tbbfelix@gmail.com" TargetMode="External" Id="rId8"/><Relationship Type="http://schemas.openxmlformats.org/officeDocument/2006/relationships/hyperlink" Target="mailto:bianca.goulart@itamaraty.gov.br" TargetMode="External" Id="rId9"/><Relationship Type="http://schemas.openxmlformats.org/officeDocument/2006/relationships/hyperlink" Target="mailto:Luizsmania1@gmail.com" TargetMode="External" Id="rId10"/><Relationship Type="http://schemas.openxmlformats.org/officeDocument/2006/relationships/hyperlink" Target="mailto:isabelabattisti@gmail.com" TargetMode="External" Id="rId11"/><Relationship Type="http://schemas.openxmlformats.org/officeDocument/2006/relationships/hyperlink" Target="mailto:aline.barros@outlook.com" TargetMode="External" Id="rId12"/><Relationship Type="http://schemas.openxmlformats.org/officeDocument/2006/relationships/hyperlink" Target="mailto:DAIANELEALG@GMAIL.COM" TargetMode="External" Id="rId13"/><Relationship Type="http://schemas.openxmlformats.org/officeDocument/2006/relationships/hyperlink" Target="mailto:cinthia_ralmeida2@hotmail.com" TargetMode="External" Id="rId14"/><Relationship Type="http://schemas.openxmlformats.org/officeDocument/2006/relationships/hyperlink" Target="mailto:rafaelrodrigues2011@gmail.com" TargetMode="External" Id="rId15"/><Relationship Type="http://schemas.openxmlformats.org/officeDocument/2006/relationships/hyperlink" Target="mailto:tucanamariana@gmail.com" TargetMode="External" Id="rId16"/><Relationship Type="http://schemas.openxmlformats.org/officeDocument/2006/relationships/hyperlink" Target="mailto:pamela.silva@itamaraty.gov.br" TargetMode="External" Id="rId17"/><Relationship Type="http://schemas.openxmlformats.org/officeDocument/2006/relationships/hyperlink" Target="mailto:arthurgf96@gmail.com" TargetMode="External" Id="rId18"/><Relationship Type="http://schemas.openxmlformats.org/officeDocument/2006/relationships/hyperlink" Target="mailto:crislainedealmeida@hotmail.com" TargetMode="External" Id="rId19"/><Relationship Type="http://schemas.openxmlformats.org/officeDocument/2006/relationships/hyperlink" Target="mailto:cintiadosantos4@gmail.com" TargetMode="External" Id="rId20"/><Relationship Type="http://schemas.openxmlformats.org/officeDocument/2006/relationships/hyperlink" Target="mailto:nayara.mendes@itamaraty.gov.br" TargetMode="External" Id="rId21"/><Relationship Type="http://schemas.openxmlformats.org/officeDocument/2006/relationships/hyperlink" Target="mailto:jessicaoliveira9316@gmail.com" TargetMode="External" Id="rId22"/><Relationship Type="http://schemas.openxmlformats.org/officeDocument/2006/relationships/hyperlink" Target="mailto:ana.spelias@gmail.com" TargetMode="External" Id="rId23"/><Relationship Type="http://schemas.openxmlformats.org/officeDocument/2006/relationships/hyperlink" Target="mailto:dener.asm@gmail.com" TargetMode="External" Id="rId24"/><Relationship Type="http://schemas.openxmlformats.org/officeDocument/2006/relationships/hyperlink" Target="mailto:fabiola.malta@itamaraty.gov.br" TargetMode="External" Id="rId25"/><Relationship Type="http://schemas.openxmlformats.org/officeDocument/2006/relationships/hyperlink" Target="mailto:wellingtons24.santos@gmail.com" TargetMode="External" Id="rId26"/><Relationship Type="http://schemas.openxmlformats.org/officeDocument/2006/relationships/hyperlink" Target="mailto:almeidaedi@gmail.com" TargetMode="External" Id="rId27"/><Relationship Type="http://schemas.openxmlformats.org/officeDocument/2006/relationships/hyperlink" Target="mailto:gabrielsoares2111@gmail.com" TargetMode="External" Id="rId28"/><Relationship Type="http://schemas.openxmlformats.org/officeDocument/2006/relationships/hyperlink" Target="mailto:tulio.neves@itamaraty.gov.br" TargetMode="External" Id="rId29"/><Relationship Type="http://schemas.openxmlformats.org/officeDocument/2006/relationships/hyperlink" Target="mailto:tfregnani@outlook.com" TargetMode="External" Id="rId30"/><Relationship Type="http://schemas.openxmlformats.org/officeDocument/2006/relationships/hyperlink" Target="mailto:danielalmelo@gmail.com" TargetMode="External" Id="rId31"/><Relationship Type="http://schemas.openxmlformats.org/officeDocument/2006/relationships/hyperlink" Target="mailto:passos.matheus@gmail.com" TargetMode="External" Id="rId32"/><Relationship Type="http://schemas.openxmlformats.org/officeDocument/2006/relationships/hyperlink" Target="mailto:fernanda@brazilirelandchamber.com" TargetMode="External" Id="rId33"/><Relationship Type="http://schemas.openxmlformats.org/officeDocument/2006/relationships/hyperlink" Target="mailto:daniel20022304@gmail.com" TargetMode="External" Id="rId34"/><Relationship Type="http://schemas.openxmlformats.org/officeDocument/2006/relationships/hyperlink" Target="mailto:ingridmach@hotmail.com" TargetMode="External" Id="rId35"/><Relationship Type="http://schemas.openxmlformats.org/officeDocument/2006/relationships/hyperlink" Target="mailto:dulliusdaniela@gmail.com" TargetMode="External" Id="rId36"/><Relationship Type="http://schemas.openxmlformats.org/officeDocument/2006/relationships/hyperlink" Target="mailto:beatrizgilli@hotmail.com" TargetMode="External" Id="rId37"/><Relationship Type="http://schemas.openxmlformats.org/officeDocument/2006/relationships/hyperlink" Target="mailto:anabellacastroie@gmail.com" TargetMode="External" Id="rId38"/><Relationship Type="http://schemas.openxmlformats.org/officeDocument/2006/relationships/hyperlink" Target="mailto:juli_tico@hotmail.com" TargetMode="External" Id="rId39"/><Relationship Type="http://schemas.openxmlformats.org/officeDocument/2006/relationships/hyperlink" Target="mailto:lincolnguedesc@gmail.com" TargetMode="External" Id="rId40"/><Relationship Type="http://schemas.openxmlformats.org/officeDocument/2006/relationships/hyperlink" Target="mailto:Marcelatkondo@gmail.com" TargetMode="External" Id="rId41"/><Relationship Type="http://schemas.openxmlformats.org/officeDocument/2006/relationships/hyperlink" Target="mailto:talita.montysuma@gmail.com" TargetMode="External" Id="rId42"/><Relationship Type="http://schemas.openxmlformats.org/officeDocument/2006/relationships/hyperlink" Target="mailto:nvlousada@gmail.com" TargetMode="External" Id="rId43"/><Relationship Type="http://schemas.openxmlformats.org/officeDocument/2006/relationships/hyperlink" Target="mailto:anthonyedasilvagapito@gmail.com" TargetMode="External" Id="rId44"/><Relationship Type="http://schemas.openxmlformats.org/officeDocument/2006/relationships/hyperlink" Target="mailto:rochae@tcd.ie" TargetMode="External" Id="rId45"/><Relationship Type="http://schemas.openxmlformats.org/officeDocument/2006/relationships/hyperlink" Target="mailto:andersonsilverio14@gmail.com" TargetMode="External" Id="rId46"/><Relationship Type="http://schemas.openxmlformats.org/officeDocument/2006/relationships/hyperlink" Target="mailto:jussara.veneza@hotmail.com" TargetMode="External" Id="rId47"/><Relationship Type="http://schemas.openxmlformats.org/officeDocument/2006/relationships/hyperlink" Target="mailto:perontayna@gmail.com" TargetMode="External" Id="rId48"/><Relationship Type="http://schemas.openxmlformats.org/officeDocument/2006/relationships/hyperlink" Target="mailto:julianacampos21@hotmail.com" TargetMode="External" Id="rId49"/><Relationship Type="http://schemas.openxmlformats.org/officeDocument/2006/relationships/hyperlink" Target="mailto:lilianebr.dublin@gmail.com" TargetMode="External" Id="rId50"/><Relationship Type="http://schemas.openxmlformats.org/officeDocument/2006/relationships/hyperlink" Target="mailto:jack_610aparecida@hormail.com" TargetMode="External" Id="rId51"/><Relationship Type="http://schemas.openxmlformats.org/officeDocument/2006/relationships/hyperlink" Target="mailto:iglesias_diogo@hotmail.com" TargetMode="External" Id="rId52"/><Relationship Type="http://schemas.openxmlformats.org/officeDocument/2006/relationships/hyperlink" Target="mailto:ediones.savaris@gmail.com" TargetMode="External" Id="rId53"/><Relationship Type="http://schemas.openxmlformats.org/officeDocument/2006/relationships/hyperlink" Target="mailto:sousa.franciscaa@gmail.com" TargetMode="External" Id="rId54"/><Relationship Type="http://schemas.openxmlformats.org/officeDocument/2006/relationships/hyperlink" Target="mailto:auroramomolina@icloud.com" TargetMode="External" Id="rId55"/><Relationship Type="http://schemas.openxmlformats.org/officeDocument/2006/relationships/hyperlink" Target="mailto:lcaprezzi@gmail.com" TargetMode="External" Id="rId56"/><Relationship Type="http://schemas.openxmlformats.org/officeDocument/2006/relationships/hyperlink" Target="mailto:marianagasparetti@gmail.com" TargetMode="External" Id="rId57"/><Relationship Type="http://schemas.openxmlformats.org/officeDocument/2006/relationships/hyperlink" Target="mailto:malumorgante@gmail.com" TargetMode="External" Id="rId58"/><Relationship Type="http://schemas.openxmlformats.org/officeDocument/2006/relationships/hyperlink" Target="mailto:s.caetanoregina1979@gmail.com" TargetMode="External" Id="rId59"/><Relationship Type="http://schemas.openxmlformats.org/officeDocument/2006/relationships/hyperlink" Target="mailto:renan.williandc@gmail.com" TargetMode="External" Id="rId60"/><Relationship Type="http://schemas.openxmlformats.org/officeDocument/2006/relationships/hyperlink" Target="mailto:Tiagocare@icloud.com" TargetMode="External" Id="rId61"/><Relationship Type="http://schemas.openxmlformats.org/officeDocument/2006/relationships/hyperlink" Target="mailto:353helenafranmalves@gmail.com" TargetMode="External" Id="rId62"/><Relationship Type="http://schemas.openxmlformats.org/officeDocument/2006/relationships/hyperlink" Target="mailto:ftrindade3411@gmail.com" TargetMode="External" Id="rId63"/><Relationship Type="http://schemas.openxmlformats.org/officeDocument/2006/relationships/hyperlink" Target="mailto:fagneralmeidamorais@gmail.com" TargetMode="External" Id="rId64"/><Relationship Type="http://schemas.openxmlformats.org/officeDocument/2006/relationships/hyperlink" Target="mailto:julianawongm@gmail.com" TargetMode="External" Id="rId65"/><Relationship Type="http://schemas.openxmlformats.org/officeDocument/2006/relationships/hyperlink" Target="mailto:luisamontecarmelo@gmail.com" TargetMode="External" Id="rId66"/><Relationship Type="http://schemas.openxmlformats.org/officeDocument/2006/relationships/hyperlink" Target="mailto:maiik5463@hotmail.com" TargetMode="External" Id="rId67"/><Relationship Type="http://schemas.openxmlformats.org/officeDocument/2006/relationships/hyperlink" Target="mailto:matheuslw@gmail.com" TargetMode="External" Id="rId68"/><Relationship Type="http://schemas.openxmlformats.org/officeDocument/2006/relationships/hyperlink" Target="mailto:kaique.aquino.oliveira@esb.ie" TargetMode="External" Id="rId69"/><Relationship Type="http://schemas.openxmlformats.org/officeDocument/2006/relationships/hyperlink" Target="mailto:krla.dublin16@gmail.com" TargetMode="External" Id="rId70"/><Relationship Type="http://schemas.openxmlformats.org/officeDocument/2006/relationships/hyperlink" Target="mailto:louiseandrielleprandi@gmail.com" TargetMode="External" Id="rId71"/><Relationship Type="http://schemas.openxmlformats.org/officeDocument/2006/relationships/hyperlink" Target="mailto:paulalimao88@hotmail.com" TargetMode="External" Id="rId72"/><Relationship Type="http://schemas.openxmlformats.org/officeDocument/2006/relationships/hyperlink" Target="mailto:rogergoes@hotmail.com" TargetMode="External" Id="rId73"/><Relationship Type="http://schemas.openxmlformats.org/officeDocument/2006/relationships/hyperlink" Target="mailto:paulacipro@gmail.com" TargetMode="External" Id="rId74"/><Relationship Type="http://schemas.openxmlformats.org/officeDocument/2006/relationships/hyperlink" Target="mailto:luamdmoreira@gmail.com" TargetMode="External" Id="rId75"/><Relationship Type="http://schemas.openxmlformats.org/officeDocument/2006/relationships/hyperlink" Target="mailto:saradias1@gmail.com" TargetMode="External" Id="rId76"/><Relationship Type="http://schemas.openxmlformats.org/officeDocument/2006/relationships/hyperlink" Target="mailto:ednaldo283@gmail.com" TargetMode="External" Id="rId77"/><Relationship Type="http://schemas.openxmlformats.org/officeDocument/2006/relationships/hyperlink" Target="mailto:thaisterencio@hotmail.com" TargetMode="External" Id="rId78"/><Relationship Type="http://schemas.openxmlformats.org/officeDocument/2006/relationships/hyperlink" Target="mailto:vanessa.barbosa@itamaraty.gov.br" TargetMode="External" Id="rId79"/><Relationship Type="http://schemas.openxmlformats.org/officeDocument/2006/relationships/hyperlink" Target="mailto:leilarosaria@yahoo.com.br" TargetMode="External" Id="rId80"/><Relationship Type="http://schemas.openxmlformats.org/officeDocument/2006/relationships/hyperlink" Target="mailto:danielpessoa.cardeal@gmail.com" TargetMode="External" Id="rId81"/><Relationship Type="http://schemas.openxmlformats.org/officeDocument/2006/relationships/hyperlink" Target="mailto:sandro.cunha2008@gmail.com" TargetMode="External" Id="rId82"/><Relationship Type="http://schemas.openxmlformats.org/officeDocument/2006/relationships/hyperlink" Target="mailto:jair.correia@itamaraty.gov.br" TargetMode="External" Id="rId83"/><Relationship Type="http://schemas.openxmlformats.org/officeDocument/2006/relationships/hyperlink" Target="mailto:alaf.ribeiro.965@gmail.com" TargetMode="External" Id="rId84"/><Relationship Type="http://schemas.openxmlformats.org/officeDocument/2006/relationships/hyperlink" Target="mailto:jmendes_mendes@live.com" TargetMode="External" Id="rId85"/><Relationship Type="http://schemas.openxmlformats.org/officeDocument/2006/relationships/hyperlink" Target="mailto:alanegerssicaandrade@gmail.com" TargetMode="External" Id="rId86"/><Relationship Type="http://schemas.openxmlformats.org/officeDocument/2006/relationships/hyperlink" Target="mailto:maira.fabiani@itamaraty.gov.br" TargetMode="External" Id="rId87"/><Relationship Type="http://schemas.openxmlformats.org/officeDocument/2006/relationships/hyperlink" Target="mailto:alves.brenda65@gmail.com" TargetMode="External" Id="rId88"/><Relationship Type="http://schemas.openxmlformats.org/officeDocument/2006/relationships/hyperlink" Target="mailto:nadiaweber12@yahoo.com.br" TargetMode="External" Id="rId89"/><Relationship Type="http://schemas.openxmlformats.org/officeDocument/2006/relationships/hyperlink" Target="mailto:danferrareis@hotmail.com" TargetMode="External" Id="rId90"/><Relationship Type="http://schemas.openxmlformats.org/officeDocument/2006/relationships/hyperlink" Target="mailto:tstrhgt@gmail.com" TargetMode="External" Id="rId91"/><Relationship Type="http://schemas.openxmlformats.org/officeDocument/2006/relationships/hyperlink" Target="mailto:tifanyazuma@outlook.com" TargetMode="External" Id="rId92"/><Relationship Type="http://schemas.openxmlformats.org/officeDocument/2006/relationships/hyperlink" Target="mailto:Nicolicamilo@hotmail.com" TargetMode="External" Id="rId93"/><Relationship Type="http://schemas.openxmlformats.org/officeDocument/2006/relationships/hyperlink" Target="mailto:juliana.nunes2010@hotmail.com" TargetMode="External" Id="rId94"/><Relationship Type="http://schemas.openxmlformats.org/officeDocument/2006/relationships/hyperlink" Target="mailto:laurabvieiras@gmail.com" TargetMode="External" Id="rId95"/><Relationship Type="http://schemas.openxmlformats.org/officeDocument/2006/relationships/hyperlink" Target="mailto:lauroramos@outlook.com" TargetMode="External" Id="rId96"/><Relationship Type="http://schemas.openxmlformats.org/officeDocument/2006/relationships/hyperlink" Target="mailto:marinacoutor@gmail.com" TargetMode="External" Id="rId97"/><Relationship Type="http://schemas.openxmlformats.org/officeDocument/2006/relationships/hyperlink" Target="mailto:robertocanallijr@gmail.com" TargetMode="External" Id="rId98"/><Relationship Type="http://schemas.openxmlformats.org/officeDocument/2006/relationships/hyperlink" Target="mailto:thaylaeugeniob@gmail.com" TargetMode="External" Id="rId99"/><Relationship Type="http://schemas.openxmlformats.org/officeDocument/2006/relationships/hyperlink" Target="mailto:emillylaise@outlook.com" TargetMode="External" Id="rId100"/><Relationship Type="http://schemas.openxmlformats.org/officeDocument/2006/relationships/hyperlink" Target="mailto:cabralbruma@gmail.com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 ht="15.75" customHeight="1">
      <c r="A1" s="1" t="inlineStr">
        <is>
          <t>Mesários — 1º turno 04/10/2026 · RDS Hall 2 · presença, situação em 30/09/2026 13:42</t>
        </is>
      </c>
    </row>
    <row r="3">
      <c r="A3" s="29" t="inlineStr">
        <is>
          <t>Total de mesários</t>
        </is>
      </c>
      <c r="B3" s="18">
        <f>COUNTA(Mesarios!D2:D112)</f>
        <v/>
      </c>
    </row>
    <row r="4">
      <c r="A4" s="29" t="inlineStr">
        <is>
          <t>Presentes (SIM)</t>
        </is>
      </c>
      <c r="B4" s="18">
        <f>COUNTIF(Mesarios!$E$2:$E$112,"SIM")</f>
        <v/>
      </c>
    </row>
    <row r="5">
      <c r="A5" s="29" t="inlineStr">
        <is>
          <t>Ausentes (NAO)</t>
        </is>
      </c>
      <c r="B5" s="18">
        <f>COUNTIF(Mesarios!$E$2:$E$112,"NAO")</f>
        <v/>
      </c>
    </row>
    <row r="6">
      <c r="A6" s="29" t="inlineStr">
        <is>
          <t>Marcados "0006/2026"</t>
        </is>
      </c>
      <c r="B6" s="18">
        <f>COUNTIF(Mesarios!$E$2:$E$112,"0006/2026")</f>
        <v/>
      </c>
    </row>
    <row r="7">
      <c r="A7" s="29" t="inlineStr">
        <is>
          <t>Sem registro ("-")</t>
        </is>
      </c>
      <c r="B7" s="18">
        <f>COUNTIF(Mesarios!$E$2:$E$112,"-")</f>
        <v/>
      </c>
    </row>
    <row r="8">
      <c r="A8" s="29" t="inlineStr">
        <is>
          <t>Não presentes (NAO + 0006/2026 + "-")</t>
        </is>
      </c>
      <c r="B8" s="18">
        <f>B5+B6+B7</f>
        <v/>
      </c>
    </row>
    <row r="9">
      <c r="A9" s="29" t="inlineStr">
        <is>
          <t>Conferência: soma das 4 categorias = total</t>
        </is>
      </c>
      <c r="B9" s="19">
        <f>IF(B4+B5+B6+B7=B3,"OK","DIVERGE")</f>
        <v/>
      </c>
    </row>
    <row r="10">
      <c r="A10" s="29" t="inlineStr">
        <is>
          <t>Seções (mesas)</t>
        </is>
      </c>
      <c r="B10" s="18">
        <f>COUNTA('Por secao'!A2:A29)</f>
        <v/>
      </c>
    </row>
    <row r="11">
      <c r="A11" s="29" t="inlineStr">
        <is>
          <t>Mesas com os 4 presentes</t>
        </is>
      </c>
      <c r="B11" s="18">
        <f>COUNTIF('Por secao'!G2:G29,4)</f>
        <v/>
      </c>
    </row>
    <row r="12">
      <c r="A12" t="inlineStr">
        <is>
          <t>Mesas com só 3 presentes</t>
        </is>
      </c>
      <c r="B12" s="20">
        <f>COUNTIF('Por secao'!G2:G29,3)</f>
        <v/>
      </c>
    </row>
    <row r="13">
      <c r="A13" t="inlineStr">
        <is>
          <t>Mesas com 2 ou menos presentes</t>
        </is>
      </c>
      <c r="B13" s="20">
        <f>COUNTIF('Por secao'!G2:G29,"&lt;=2")</f>
        <v/>
      </c>
    </row>
    <row r="14">
      <c r="A14" t="inlineStr">
        <is>
          <t>Mesas com só 3 designados</t>
        </is>
      </c>
      <c r="B14" s="20">
        <f>COUNTIF('Por secao'!B2:B29,3)</f>
        <v/>
      </c>
    </row>
    <row r="15">
      <c r="A15" t="inlineStr">
        <is>
          <t>Mesas sem Presidente designado</t>
        </is>
      </c>
      <c r="B15" s="20">
        <f>'Por secao'!C30</f>
        <v/>
      </c>
    </row>
    <row r="16" ht="75" customHeight="1">
      <c r="A16" s="21" t="inlineStr">
        <is>
          <t>Nota</t>
        </is>
      </c>
      <c r="B16" s="20" t="inlineStr">
        <is>
          <t>A coluna "Situação" (Confirmado / Sem resposta / Pedido de dispensa) do relatório Elo/Convoca+ de 30/09 foi substituída na aba Mesarios pela coluna "Presença" (SIM / NAO / 0006/2026 / -). As contagens acima e na aba "Por secao" passaram a ler essa coluna. Totais do PDF original: Total 111 · Confirmados 98 · Sem resposta 12 · Pedido de dispensa 1.</t>
        </is>
      </c>
    </row>
    <row r="18">
      <c r="A18" s="32" t="inlineStr">
        <is>
          <t>Comparecimento — BUs de 04/10/2026</t>
        </is>
      </c>
    </row>
    <row r="19">
      <c r="A19" t="inlineStr">
        <is>
          <t>Comparecimento efetivo (28 BUs)</t>
        </is>
      </c>
      <c r="B19" s="33">
        <f>'Por secao'!Q30</f>
        <v/>
      </c>
    </row>
    <row r="20">
      <c r="A20" t="inlineStr">
        <is>
          <t>Comparecimento esperado (base B)</t>
        </is>
      </c>
      <c r="B20" s="33">
        <f>'Por secao'!N30</f>
        <v/>
      </c>
    </row>
    <row r="21">
      <c r="A21" t="inlineStr">
        <is>
          <t>Efetivo / esperado</t>
        </is>
      </c>
      <c r="B21" s="34">
        <f>'Por secao'!Q30/'Por secao'!N30</f>
        <v/>
      </c>
    </row>
    <row r="22">
      <c r="A22" t="inlineStr">
        <is>
          <t>Taxa de comparecimento (efetivo / aptos no BU)</t>
        </is>
      </c>
      <c r="B22" s="34">
        <f>'Por secao'!S30</f>
        <v/>
      </c>
    </row>
    <row r="23">
      <c r="A23" t="inlineStr">
        <is>
          <t>Urna mais movimentada (seção)</t>
        </is>
      </c>
      <c r="B23" s="35">
        <f>INDEX('Por secao'!A2:A29,MATCH(1,'Por secao'!V2:V29,0))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workbookViewId="0">
      <pane ySplit="1" topLeftCell="A48" activePane="bottomLeft" state="frozen"/>
      <selection activeCell="C1" sqref="C1"/>
      <selection pane="bottomLeft" activeCell="A66" sqref="A66"/>
    </sheetView>
  </sheetViews>
  <sheetFormatPr baseColWidth="8" defaultRowHeight="15"/>
  <cols>
    <col width="9" customWidth="1" min="1" max="1"/>
    <col width="15" customWidth="1" min="2" max="2"/>
    <col width="46" customWidth="1" min="3" max="3"/>
    <col width="49.140625" customWidth="1" min="4" max="4"/>
    <col width="19.42578125" customWidth="1" min="5" max="5"/>
    <col width="18" customWidth="1" min="6" max="6"/>
  </cols>
  <sheetData>
    <row r="1">
      <c r="A1" s="30" t="inlineStr">
        <is>
          <t>Seção</t>
        </is>
      </c>
      <c r="B1" s="30" t="inlineStr">
        <is>
          <t>Função</t>
        </is>
      </c>
      <c r="C1" s="30" t="inlineStr">
        <is>
          <t>E-mail</t>
        </is>
      </c>
      <c r="D1" s="30" t="inlineStr">
        <is>
          <t>Nome</t>
        </is>
      </c>
      <c r="E1" s="30" t="inlineStr">
        <is>
          <t>Presença</t>
        </is>
      </c>
      <c r="F1" s="22" t="inlineStr">
        <is>
          <t>Chave (auxiliar)</t>
        </is>
      </c>
    </row>
    <row r="2">
      <c r="A2" s="28" t="n">
        <v>511</v>
      </c>
      <c r="B2" s="29" t="inlineStr">
        <is>
          <t>Presidente</t>
        </is>
      </c>
      <c r="C2" s="31" t="inlineStr">
        <is>
          <t>Felipegustavo.ie@outlook.com</t>
        </is>
      </c>
      <c r="D2" s="29" t="inlineStr">
        <is>
          <t>FELIPE PEREIRA DE SOUZA GUSTAVO</t>
        </is>
      </c>
      <c r="E2" s="29" t="inlineStr">
        <is>
          <t>SIM</t>
        </is>
      </c>
      <c r="F2" s="23">
        <f>A2&amp;"|"&amp;B2</f>
        <v/>
      </c>
    </row>
    <row r="3">
      <c r="A3" s="28" t="n">
        <v>511</v>
      </c>
      <c r="B3" s="29" t="inlineStr">
        <is>
          <t>1º Mesário</t>
        </is>
      </c>
      <c r="C3" s="31" t="inlineStr">
        <is>
          <t>Ericcount19@hotmail.com</t>
        </is>
      </c>
      <c r="D3" s="29" t="inlineStr">
        <is>
          <t>ERIC DA SILVA MEDEIROS</t>
        </is>
      </c>
      <c r="E3" s="29" t="inlineStr">
        <is>
          <t>SIM</t>
        </is>
      </c>
      <c r="F3" s="23">
        <f>A3&amp;"|"&amp;B3</f>
        <v/>
      </c>
    </row>
    <row r="4">
      <c r="A4" s="28" t="n">
        <v>511</v>
      </c>
      <c r="B4" s="29" t="inlineStr">
        <is>
          <t>2º Mesário</t>
        </is>
      </c>
      <c r="C4" s="31" t="inlineStr">
        <is>
          <t>ludmilamaiamaciel@gmail.com</t>
        </is>
      </c>
      <c r="D4" s="29" t="inlineStr">
        <is>
          <t>LUDMILA MAIA MACIEL</t>
        </is>
      </c>
      <c r="E4" s="29" t="inlineStr">
        <is>
          <t>SIM</t>
        </is>
      </c>
      <c r="F4" s="23">
        <f>A4&amp;"|"&amp;B4</f>
        <v/>
      </c>
    </row>
    <row r="5">
      <c r="A5" s="28" t="n">
        <v>511</v>
      </c>
      <c r="B5" s="29" t="inlineStr">
        <is>
          <t>1º Secretário</t>
        </is>
      </c>
      <c r="C5" s="31" t="inlineStr">
        <is>
          <t>beabertocco@gmail.com</t>
        </is>
      </c>
      <c r="D5" s="29" t="inlineStr">
        <is>
          <t>BEATRIZ CARACANHA BERTOCCO</t>
        </is>
      </c>
      <c r="E5" s="29" t="inlineStr">
        <is>
          <t>SIM</t>
        </is>
      </c>
      <c r="F5" s="23">
        <f>A5&amp;"|"&amp;B5</f>
        <v/>
      </c>
    </row>
    <row r="6">
      <c r="A6" s="28" t="n">
        <v>512</v>
      </c>
      <c r="B6" s="29" t="inlineStr">
        <is>
          <t>Presidente</t>
        </is>
      </c>
      <c r="C6" s="31" t="inlineStr">
        <is>
          <t>anaclaudiamazurok@gmail.com</t>
        </is>
      </c>
      <c r="D6" s="29" t="inlineStr">
        <is>
          <t>ANA CLAUDIA MAZUROK</t>
        </is>
      </c>
      <c r="E6" s="29" t="inlineStr">
        <is>
          <t>NAO</t>
        </is>
      </c>
      <c r="F6" s="23">
        <f>A6&amp;"|"&amp;B6</f>
        <v/>
      </c>
    </row>
    <row r="7">
      <c r="A7" s="28" t="n">
        <v>512</v>
      </c>
      <c r="B7" s="29" t="inlineStr">
        <is>
          <t>1º Mesário</t>
        </is>
      </c>
      <c r="C7" s="31" t="inlineStr">
        <is>
          <t>caiorossiter@gmail.com</t>
        </is>
      </c>
      <c r="D7" s="29" t="inlineStr">
        <is>
          <t>CAIO CESAR ROSSITER</t>
        </is>
      </c>
      <c r="E7" s="29" t="inlineStr">
        <is>
          <t>SIM</t>
        </is>
      </c>
      <c r="F7" s="23">
        <f>A7&amp;"|"&amp;B7</f>
        <v/>
      </c>
    </row>
    <row r="8">
      <c r="A8" s="28" t="n">
        <v>512</v>
      </c>
      <c r="B8" s="29" t="inlineStr">
        <is>
          <t>2º Mesário</t>
        </is>
      </c>
      <c r="C8" s="31" t="inlineStr">
        <is>
          <t>camilamouramartins1987@gmail.com</t>
        </is>
      </c>
      <c r="D8" s="29" t="inlineStr">
        <is>
          <t>CAMILA MOURA MARTINS</t>
        </is>
      </c>
      <c r="E8" s="29" t="inlineStr">
        <is>
          <t>SIM</t>
        </is>
      </c>
      <c r="F8" s="23">
        <f>A8&amp;"|"&amp;B8</f>
        <v/>
      </c>
    </row>
    <row r="9">
      <c r="A9" s="28" t="n">
        <v>512</v>
      </c>
      <c r="B9" s="29" t="inlineStr">
        <is>
          <t>1º Secretário</t>
        </is>
      </c>
      <c r="C9" s="31" t="inlineStr">
        <is>
          <t>tbbfelix@gmail.com</t>
        </is>
      </c>
      <c r="D9" s="29" t="inlineStr">
        <is>
          <t>THAISA BERNARDES BUENO FELIX</t>
        </is>
      </c>
      <c r="E9" s="29" t="inlineStr">
        <is>
          <t>SIM</t>
        </is>
      </c>
      <c r="F9" s="23">
        <f>A9&amp;"|"&amp;B9</f>
        <v/>
      </c>
    </row>
    <row r="10">
      <c r="A10" s="28" t="n">
        <v>513</v>
      </c>
      <c r="B10" s="29" t="inlineStr">
        <is>
          <t>Presidente</t>
        </is>
      </c>
      <c r="C10" s="31" t="inlineStr">
        <is>
          <t>bianca.goulart@itamaraty.gov.br</t>
        </is>
      </c>
      <c r="D10" s="29" t="inlineStr">
        <is>
          <t>BIANCA ARAGONE RODRIGUES GOULART</t>
        </is>
      </c>
      <c r="E10" s="29" t="inlineStr">
        <is>
          <t>SIM</t>
        </is>
      </c>
      <c r="F10" s="23">
        <f>A10&amp;"|"&amp;B10</f>
        <v/>
      </c>
    </row>
    <row r="11">
      <c r="A11" s="28" t="n">
        <v>513</v>
      </c>
      <c r="B11" s="29" t="inlineStr">
        <is>
          <t>1º Mesário</t>
        </is>
      </c>
      <c r="C11" s="31" t="inlineStr">
        <is>
          <t>Luizsmania1@gmail.com</t>
        </is>
      </c>
      <c r="D11" s="29" t="inlineStr">
        <is>
          <t>LUIZ HENRIQUE DE SOUSA SMANIA</t>
        </is>
      </c>
      <c r="E11" s="29" t="inlineStr">
        <is>
          <t>SIM</t>
        </is>
      </c>
      <c r="F11" s="23">
        <f>A11&amp;"|"&amp;B11</f>
        <v/>
      </c>
    </row>
    <row r="12">
      <c r="A12" s="28" t="n">
        <v>513</v>
      </c>
      <c r="B12" s="29" t="inlineStr">
        <is>
          <t>2º Mesário</t>
        </is>
      </c>
      <c r="C12" s="31" t="inlineStr">
        <is>
          <t>isabelabattisti@gmail.com</t>
        </is>
      </c>
      <c r="D12" s="29" t="inlineStr">
        <is>
          <t>ISABELA FERNANDES BATTISTI PETRIS</t>
        </is>
      </c>
      <c r="E12" s="29" t="inlineStr">
        <is>
          <t>SIM</t>
        </is>
      </c>
      <c r="F12" s="23">
        <f>A12&amp;"|"&amp;B12</f>
        <v/>
      </c>
    </row>
    <row r="13">
      <c r="A13" s="28" t="n">
        <v>513</v>
      </c>
      <c r="B13" s="29" t="inlineStr">
        <is>
          <t>1º Secretário</t>
        </is>
      </c>
      <c r="C13" s="31" t="inlineStr">
        <is>
          <t>aline.barros@outlook.com</t>
        </is>
      </c>
      <c r="D13" s="29" t="inlineStr">
        <is>
          <t>ALINE BARROS DE LIRA</t>
        </is>
      </c>
      <c r="E13" s="29" t="inlineStr">
        <is>
          <t>NAO</t>
        </is>
      </c>
      <c r="F13" s="23">
        <f>A13&amp;"|"&amp;B13</f>
        <v/>
      </c>
    </row>
    <row r="14">
      <c r="A14" s="28" t="n">
        <v>517</v>
      </c>
      <c r="B14" s="29" t="inlineStr">
        <is>
          <t>Presidente</t>
        </is>
      </c>
      <c r="C14" s="31" t="inlineStr">
        <is>
          <t>DAIANELEALG@GMAIL.COM</t>
        </is>
      </c>
      <c r="D14" s="29" t="inlineStr">
        <is>
          <t>DAIANE LEAL GOMES</t>
        </is>
      </c>
      <c r="E14" s="29" t="inlineStr">
        <is>
          <t>SIM</t>
        </is>
      </c>
      <c r="F14" s="23">
        <f>A14&amp;"|"&amp;B14</f>
        <v/>
      </c>
    </row>
    <row r="15">
      <c r="A15" s="28" t="n">
        <v>517</v>
      </c>
      <c r="B15" s="29" t="inlineStr">
        <is>
          <t>1º Mesário</t>
        </is>
      </c>
      <c r="C15" s="31" t="inlineStr">
        <is>
          <t>cinthia_ralmeida2@hotmail.com</t>
        </is>
      </c>
      <c r="D15" s="29" t="inlineStr">
        <is>
          <t>CINTHIA RODRIGUES DE ALMEIDA</t>
        </is>
      </c>
      <c r="E15" s="29" t="inlineStr">
        <is>
          <t>SIM</t>
        </is>
      </c>
      <c r="F15" s="23">
        <f>A15&amp;"|"&amp;B15</f>
        <v/>
      </c>
    </row>
    <row r="16">
      <c r="A16" s="28" t="n">
        <v>517</v>
      </c>
      <c r="B16" s="29" t="inlineStr">
        <is>
          <t>2º Mesário</t>
        </is>
      </c>
      <c r="C16" s="31" t="inlineStr">
        <is>
          <t xml:space="preserve">rafaelrodrigues2011@gmail.com </t>
        </is>
      </c>
      <c r="D16" s="29" t="inlineStr">
        <is>
          <t>RAFAEL DRUMMOND RODRIGUES</t>
        </is>
      </c>
      <c r="E16" s="29" t="inlineStr">
        <is>
          <t>SIM</t>
        </is>
      </c>
      <c r="F16" s="23">
        <f>A16&amp;"|"&amp;B16</f>
        <v/>
      </c>
    </row>
    <row r="17">
      <c r="A17" s="28" t="n">
        <v>517</v>
      </c>
      <c r="B17" s="29" t="inlineStr">
        <is>
          <t>1º Secretário</t>
        </is>
      </c>
      <c r="C17" s="31" t="inlineStr">
        <is>
          <t>tucanamariana@gmail.com</t>
        </is>
      </c>
      <c r="D17" s="29" t="inlineStr">
        <is>
          <t>MARIANA MACIEL DOS SANTOS SOUZA</t>
        </is>
      </c>
      <c r="E17" s="29" t="inlineStr">
        <is>
          <t>SIM</t>
        </is>
      </c>
      <c r="F17" s="23">
        <f>A17&amp;"|"&amp;B17</f>
        <v/>
      </c>
    </row>
    <row r="18">
      <c r="A18" s="28" t="n">
        <v>1160</v>
      </c>
      <c r="B18" s="29" t="inlineStr">
        <is>
          <t>Presidente</t>
        </is>
      </c>
      <c r="C18" s="31" t="inlineStr">
        <is>
          <t>pamela.silva@itamaraty.gov.br</t>
        </is>
      </c>
      <c r="D18" s="29" t="inlineStr">
        <is>
          <t>PAMELA NASCIMENTO DA SILVA</t>
        </is>
      </c>
      <c r="E18" s="29" t="inlineStr">
        <is>
          <t>0006/2026</t>
        </is>
      </c>
      <c r="F18" s="23">
        <f>A18&amp;"|"&amp;B18</f>
        <v/>
      </c>
    </row>
    <row r="19">
      <c r="A19" s="28" t="n">
        <v>1160</v>
      </c>
      <c r="B19" s="29" t="inlineStr">
        <is>
          <t>1º Mesário</t>
        </is>
      </c>
      <c r="C19" s="31" t="inlineStr">
        <is>
          <t>arthurgf96@gmail.com</t>
        </is>
      </c>
      <c r="D19" s="29" t="inlineStr">
        <is>
          <t>ARTHUR GRIZ FERREIRA</t>
        </is>
      </c>
      <c r="E19" s="29" t="inlineStr">
        <is>
          <t>0006/2026</t>
        </is>
      </c>
      <c r="F19" s="23">
        <f>A19&amp;"|"&amp;B19</f>
        <v/>
      </c>
    </row>
    <row r="20">
      <c r="A20" s="28" t="n">
        <v>1160</v>
      </c>
      <c r="B20" s="29" t="inlineStr">
        <is>
          <t>2º Mesário</t>
        </is>
      </c>
      <c r="C20" s="31" t="inlineStr">
        <is>
          <t>crislainedealmeida@hotmail.com</t>
        </is>
      </c>
      <c r="D20" s="29" t="inlineStr">
        <is>
          <t>CRISLAINE DE SOUZA ALMEIDA</t>
        </is>
      </c>
      <c r="E20" s="29" t="inlineStr">
        <is>
          <t>0006/2026</t>
        </is>
      </c>
      <c r="F20" s="23">
        <f>A20&amp;"|"&amp;B20</f>
        <v/>
      </c>
    </row>
    <row r="21">
      <c r="A21" s="28" t="n">
        <v>1160</v>
      </c>
      <c r="B21" s="29" t="inlineStr">
        <is>
          <t>1º Secretário</t>
        </is>
      </c>
      <c r="C21" s="31" t="inlineStr">
        <is>
          <t>cintiadosantos4@gmail.com</t>
        </is>
      </c>
      <c r="D21" s="29" t="inlineStr">
        <is>
          <t>CINTIA DOS SANTOS</t>
        </is>
      </c>
      <c r="E21" s="29" t="inlineStr">
        <is>
          <t>0006/2026</t>
        </is>
      </c>
      <c r="F21" s="23">
        <f>A21&amp;"|"&amp;B21</f>
        <v/>
      </c>
    </row>
    <row r="22">
      <c r="A22" s="28" t="n">
        <v>1352</v>
      </c>
      <c r="B22" s="29" t="inlineStr">
        <is>
          <t>Presidente</t>
        </is>
      </c>
      <c r="C22" s="31" t="inlineStr">
        <is>
          <t>nayara.mendes@itamaraty.gov.br</t>
        </is>
      </c>
      <c r="D22" s="29" t="inlineStr">
        <is>
          <t>NAYARA GIROTO MENDES</t>
        </is>
      </c>
      <c r="E22" s="29" t="inlineStr">
        <is>
          <t>SIM</t>
        </is>
      </c>
      <c r="F22" s="23">
        <f>A22&amp;"|"&amp;B22</f>
        <v/>
      </c>
    </row>
    <row r="23">
      <c r="A23" s="28" t="n">
        <v>1352</v>
      </c>
      <c r="B23" s="29" t="inlineStr">
        <is>
          <t>1º Mesário</t>
        </is>
      </c>
      <c r="C23" s="31" t="inlineStr">
        <is>
          <t>jessicaoliveira9316@gmail.com</t>
        </is>
      </c>
      <c r="D23" s="29" t="inlineStr">
        <is>
          <t>JESSICA DE OLIVEIRA</t>
        </is>
      </c>
      <c r="E23" s="29" t="inlineStr">
        <is>
          <t>SIM</t>
        </is>
      </c>
      <c r="F23" s="23">
        <f>A23&amp;"|"&amp;B23</f>
        <v/>
      </c>
    </row>
    <row r="24">
      <c r="A24" s="28" t="n">
        <v>1352</v>
      </c>
      <c r="B24" s="29" t="inlineStr">
        <is>
          <t>2º Mesário</t>
        </is>
      </c>
      <c r="C24" s="31" t="inlineStr">
        <is>
          <t>ana.spelias@gmail.com</t>
        </is>
      </c>
      <c r="D24" s="29" t="inlineStr">
        <is>
          <t>ANA PAULA DA SILVA ELIAS</t>
        </is>
      </c>
      <c r="E24" s="29" t="inlineStr">
        <is>
          <t>SIM</t>
        </is>
      </c>
      <c r="F24" s="23">
        <f>A24&amp;"|"&amp;B24</f>
        <v/>
      </c>
    </row>
    <row r="25">
      <c r="A25" s="28" t="n">
        <v>1352</v>
      </c>
      <c r="B25" s="29" t="inlineStr">
        <is>
          <t>1º Secretário</t>
        </is>
      </c>
      <c r="C25" s="31" t="inlineStr">
        <is>
          <t>dener.asm@gmail.com</t>
        </is>
      </c>
      <c r="D25" s="29" t="inlineStr">
        <is>
          <t>DENER AUGUSTO SALES MACHADO</t>
        </is>
      </c>
      <c r="E25" s="29" t="inlineStr">
        <is>
          <t>SIM</t>
        </is>
      </c>
      <c r="F25" s="23">
        <f>A25&amp;"|"&amp;B25</f>
        <v/>
      </c>
    </row>
    <row r="26">
      <c r="A26" s="28" t="n">
        <v>3054</v>
      </c>
      <c r="B26" s="29" t="inlineStr">
        <is>
          <t>Presidente</t>
        </is>
      </c>
      <c r="C26" s="31" t="inlineStr">
        <is>
          <t>fabiola.malta@itamaraty.gov.br</t>
        </is>
      </c>
      <c r="D26" s="29" t="inlineStr">
        <is>
          <t>FABIOLA CRISTIANE DA SILVA MALTA</t>
        </is>
      </c>
      <c r="E26" s="29" t="inlineStr">
        <is>
          <t>SIM</t>
        </is>
      </c>
      <c r="F26" s="23">
        <f>A26&amp;"|"&amp;B26</f>
        <v/>
      </c>
    </row>
    <row r="27">
      <c r="A27" s="28" t="n">
        <v>3054</v>
      </c>
      <c r="B27" s="29" t="inlineStr">
        <is>
          <t>1º Mesário</t>
        </is>
      </c>
      <c r="C27" s="31" t="inlineStr">
        <is>
          <t>wellingtons24.santos@gmail.com</t>
        </is>
      </c>
      <c r="D27" s="29" t="inlineStr">
        <is>
          <t>WELLINGTON DOS SANTOS</t>
        </is>
      </c>
      <c r="E27" s="29" t="inlineStr">
        <is>
          <t>SIM</t>
        </is>
      </c>
      <c r="F27" s="23">
        <f>A27&amp;"|"&amp;B27</f>
        <v/>
      </c>
    </row>
    <row r="28">
      <c r="A28" s="28" t="n">
        <v>3054</v>
      </c>
      <c r="B28" s="29" t="inlineStr">
        <is>
          <t>2º Mesário</t>
        </is>
      </c>
      <c r="C28" s="31" t="inlineStr">
        <is>
          <t>almeidaedi@gmail.com</t>
        </is>
      </c>
      <c r="D28" s="29" t="inlineStr">
        <is>
          <t>EDINEIA DE ALMEIDA GOMES</t>
        </is>
      </c>
      <c r="E28" s="29" t="inlineStr">
        <is>
          <t>NAO</t>
        </is>
      </c>
      <c r="F28" s="23">
        <f>A28&amp;"|"&amp;B28</f>
        <v/>
      </c>
    </row>
    <row r="29">
      <c r="A29" s="28" t="n">
        <v>3054</v>
      </c>
      <c r="B29" s="29" t="inlineStr">
        <is>
          <t>1º Secretário</t>
        </is>
      </c>
      <c r="C29" s="31" t="inlineStr">
        <is>
          <t>gabrielsoares2111@gmail.com</t>
        </is>
      </c>
      <c r="D29" s="29" t="inlineStr">
        <is>
          <t>GABRIEL SOARES DE CARVALHO</t>
        </is>
      </c>
      <c r="E29" s="29" t="inlineStr">
        <is>
          <t>NAO</t>
        </is>
      </c>
      <c r="F29" s="23">
        <f>A29&amp;"|"&amp;B29</f>
        <v/>
      </c>
    </row>
    <row r="30">
      <c r="A30" s="28" t="n">
        <v>3078</v>
      </c>
      <c r="B30" s="29" t="inlineStr">
        <is>
          <t>Presidente</t>
        </is>
      </c>
      <c r="C30" s="31" t="inlineStr">
        <is>
          <t>tulio.neves@itamaraty.gov.br</t>
        </is>
      </c>
      <c r="D30" s="29" t="inlineStr">
        <is>
          <t>TULIO CARLOS DE MOURA NEVES</t>
        </is>
      </c>
      <c r="E30" s="29" t="inlineStr">
        <is>
          <t>SIM</t>
        </is>
      </c>
      <c r="F30" s="23">
        <f>A30&amp;"|"&amp;B30</f>
        <v/>
      </c>
    </row>
    <row r="31">
      <c r="A31" s="28" t="n">
        <v>3078</v>
      </c>
      <c r="B31" s="29" t="inlineStr">
        <is>
          <t>1º Mesário</t>
        </is>
      </c>
      <c r="C31" s="31" t="inlineStr">
        <is>
          <t>tfregnani@outlook.com</t>
        </is>
      </c>
      <c r="D31" s="29" t="inlineStr">
        <is>
          <t>TATIANE CRISTINA FREGNANI</t>
        </is>
      </c>
      <c r="E31" s="29" t="inlineStr">
        <is>
          <t>SIM</t>
        </is>
      </c>
      <c r="F31" s="23">
        <f>A31&amp;"|"&amp;B31</f>
        <v/>
      </c>
    </row>
    <row r="32">
      <c r="A32" s="28" t="n">
        <v>3078</v>
      </c>
      <c r="B32" s="29" t="inlineStr">
        <is>
          <t>2º Mesário</t>
        </is>
      </c>
      <c r="C32" s="31" t="inlineStr">
        <is>
          <t>danielalmelo@gmail.com</t>
        </is>
      </c>
      <c r="D32" s="29" t="inlineStr">
        <is>
          <t>DANIELA LIMA DE MELO CARETTE</t>
        </is>
      </c>
      <c r="E32" s="29" t="inlineStr">
        <is>
          <t>SIM</t>
        </is>
      </c>
      <c r="F32" s="23">
        <f>A32&amp;"|"&amp;B32</f>
        <v/>
      </c>
    </row>
    <row r="33">
      <c r="A33" s="28" t="n">
        <v>3078</v>
      </c>
      <c r="B33" s="29" t="inlineStr">
        <is>
          <t>1º Secretário</t>
        </is>
      </c>
      <c r="C33" s="31" t="inlineStr">
        <is>
          <t>passos.matheus@gmail.com</t>
        </is>
      </c>
      <c r="D33" s="29" t="inlineStr">
        <is>
          <t>MATHEUS PASSOS MENDES</t>
        </is>
      </c>
      <c r="E33" s="29" t="inlineStr">
        <is>
          <t>SIM</t>
        </is>
      </c>
      <c r="F33" s="23">
        <f>A33&amp;"|"&amp;B33</f>
        <v/>
      </c>
    </row>
    <row r="34">
      <c r="A34" s="28" t="n">
        <v>3108</v>
      </c>
      <c r="B34" s="29" t="inlineStr">
        <is>
          <t>Presidente</t>
        </is>
      </c>
      <c r="C34" s="31" t="inlineStr">
        <is>
          <t>fernanda@brazilirelandchamber.com</t>
        </is>
      </c>
      <c r="D34" s="29" t="inlineStr">
        <is>
          <t>FERNANDA LIMA HERMANSON CARVALHO LOPES</t>
        </is>
      </c>
      <c r="E34" s="29" t="inlineStr">
        <is>
          <t>SIM</t>
        </is>
      </c>
      <c r="F34" s="23">
        <f>A34&amp;"|"&amp;B34</f>
        <v/>
      </c>
    </row>
    <row r="35">
      <c r="A35" s="28" t="n">
        <v>3108</v>
      </c>
      <c r="B35" s="29" t="inlineStr">
        <is>
          <t>1º Mesário</t>
        </is>
      </c>
      <c r="C35" s="31" t="inlineStr">
        <is>
          <t>daniel20022304@gmail.com</t>
        </is>
      </c>
      <c r="D35" s="29" t="inlineStr">
        <is>
          <t>DANIEL DOS SANTOS JORGE</t>
        </is>
      </c>
      <c r="E35" s="29" t="inlineStr">
        <is>
          <t>SIM</t>
        </is>
      </c>
      <c r="F35" s="23">
        <f>A35&amp;"|"&amp;B35</f>
        <v/>
      </c>
    </row>
    <row r="36">
      <c r="A36" s="28" t="n">
        <v>3108</v>
      </c>
      <c r="B36" s="29" t="inlineStr">
        <is>
          <t>2º Mesário</t>
        </is>
      </c>
      <c r="C36" s="31" t="inlineStr">
        <is>
          <t>ingridmach@hotmail.com</t>
        </is>
      </c>
      <c r="D36" s="29" t="inlineStr">
        <is>
          <t>INGRID MACHADO DOS REIS</t>
        </is>
      </c>
      <c r="E36" s="29" t="inlineStr">
        <is>
          <t>SIM</t>
        </is>
      </c>
      <c r="F36" s="23">
        <f>A36&amp;"|"&amp;B36</f>
        <v/>
      </c>
    </row>
    <row r="37">
      <c r="A37" s="28" t="n">
        <v>3108</v>
      </c>
      <c r="B37" s="29" t="inlineStr">
        <is>
          <t>1º Secretário</t>
        </is>
      </c>
      <c r="C37" s="31" t="inlineStr">
        <is>
          <t>dulliusdaniela@gmail.com</t>
        </is>
      </c>
      <c r="D37" s="29" t="inlineStr">
        <is>
          <t>DANIELA HADWIG DULLIUS</t>
        </is>
      </c>
      <c r="E37" s="29" t="inlineStr">
        <is>
          <t>SIM</t>
        </is>
      </c>
      <c r="F37" s="23">
        <f>A37&amp;"|"&amp;B37</f>
        <v/>
      </c>
    </row>
    <row r="38">
      <c r="A38" s="28" t="n">
        <v>3142</v>
      </c>
      <c r="B38" s="29" t="inlineStr">
        <is>
          <t>Presidente</t>
        </is>
      </c>
      <c r="C38" s="31" t="inlineStr">
        <is>
          <t>beatrizgilli@hotmail.com</t>
        </is>
      </c>
      <c r="D38" s="29" t="inlineStr">
        <is>
          <t>BEATRIZ GILLI HADG KARKACHI</t>
        </is>
      </c>
      <c r="E38" s="29" t="inlineStr">
        <is>
          <t>SIM</t>
        </is>
      </c>
      <c r="F38" s="23">
        <f>A38&amp;"|"&amp;B38</f>
        <v/>
      </c>
    </row>
    <row r="39">
      <c r="A39" s="28" t="n">
        <v>3142</v>
      </c>
      <c r="B39" s="29" t="inlineStr">
        <is>
          <t>1º Mesário</t>
        </is>
      </c>
      <c r="C39" s="31" t="inlineStr">
        <is>
          <t>anabellacastroie@gmail.com</t>
        </is>
      </c>
      <c r="D39" s="29" t="inlineStr">
        <is>
          <t>ANABELLA ALVES DE CASTRO</t>
        </is>
      </c>
      <c r="E39" s="29" t="inlineStr">
        <is>
          <t>SIM</t>
        </is>
      </c>
      <c r="F39" s="23">
        <f>A39&amp;"|"&amp;B39</f>
        <v/>
      </c>
    </row>
    <row r="40">
      <c r="A40" s="28" t="n">
        <v>3142</v>
      </c>
      <c r="B40" s="29" t="inlineStr">
        <is>
          <t>2º Mesário</t>
        </is>
      </c>
      <c r="C40" s="31" t="inlineStr">
        <is>
          <t>juli_tico@hotmail.com</t>
        </is>
      </c>
      <c r="D40" s="29" t="inlineStr">
        <is>
          <t>JULIANA CASSIA TAVARES DE SOUSA</t>
        </is>
      </c>
      <c r="E40" s="29" t="inlineStr">
        <is>
          <t>SIM</t>
        </is>
      </c>
      <c r="F40" s="23">
        <f>A40&amp;"|"&amp;B40</f>
        <v/>
      </c>
    </row>
    <row r="41">
      <c r="A41" s="28" t="n">
        <v>3142</v>
      </c>
      <c r="B41" s="29" t="inlineStr">
        <is>
          <t>1º Secretário</t>
        </is>
      </c>
      <c r="C41" s="31" t="inlineStr">
        <is>
          <t>lincolnguedesc@gmail.com</t>
        </is>
      </c>
      <c r="D41" s="29" t="inlineStr">
        <is>
          <t>LINCOLN CUBAS GUEDES</t>
        </is>
      </c>
      <c r="E41" s="29" t="inlineStr">
        <is>
          <t>SIM</t>
        </is>
      </c>
      <c r="F41" s="23">
        <f>A41&amp;"|"&amp;B41</f>
        <v/>
      </c>
    </row>
    <row r="42">
      <c r="A42" s="28" t="n">
        <v>3161</v>
      </c>
      <c r="B42" s="29" t="inlineStr">
        <is>
          <t>Presidente</t>
        </is>
      </c>
      <c r="C42" s="31" t="inlineStr">
        <is>
          <t>Marcelatkondo@gmail.com</t>
        </is>
      </c>
      <c r="D42" s="29" t="inlineStr">
        <is>
          <t>MARCELA TIYOKO PASSOS KONDO</t>
        </is>
      </c>
      <c r="E42" s="29" t="inlineStr">
        <is>
          <t>NAO</t>
        </is>
      </c>
      <c r="F42" s="23">
        <f>A42&amp;"|"&amp;B42</f>
        <v/>
      </c>
    </row>
    <row r="43">
      <c r="A43" s="28" t="n">
        <v>3161</v>
      </c>
      <c r="B43" s="29" t="inlineStr">
        <is>
          <t>1º Mesário</t>
        </is>
      </c>
      <c r="C43" s="31" t="inlineStr">
        <is>
          <t>talita.montysuma@gmail.com</t>
        </is>
      </c>
      <c r="D43" s="29" t="inlineStr">
        <is>
          <t>TALITA MORTARI MONTYSUMA</t>
        </is>
      </c>
      <c r="E43" s="29" t="inlineStr">
        <is>
          <t>SIM</t>
        </is>
      </c>
      <c r="F43" s="23">
        <f>A43&amp;"|"&amp;B43</f>
        <v/>
      </c>
    </row>
    <row r="44">
      <c r="A44" s="28" t="n">
        <v>3161</v>
      </c>
      <c r="B44" s="29" t="inlineStr">
        <is>
          <t>2º Mesário</t>
        </is>
      </c>
      <c r="C44" s="31" t="inlineStr">
        <is>
          <t>nvlousada@gmail.com</t>
        </is>
      </c>
      <c r="D44" s="29" t="inlineStr">
        <is>
          <t>NASTASSJA VERONICA LOUSADA GOMES</t>
        </is>
      </c>
      <c r="E44" s="29" t="inlineStr">
        <is>
          <t>SIM</t>
        </is>
      </c>
      <c r="F44" s="23">
        <f>A44&amp;"|"&amp;B44</f>
        <v/>
      </c>
    </row>
    <row r="45">
      <c r="A45" s="28" t="n">
        <v>3161</v>
      </c>
      <c r="B45" s="29" t="inlineStr">
        <is>
          <t>1º Secretário</t>
        </is>
      </c>
      <c r="C45" s="31" t="inlineStr">
        <is>
          <t>anthonyedasilvagapito@gmail.com</t>
        </is>
      </c>
      <c r="D45" s="29" t="inlineStr">
        <is>
          <t>ANTHONY EDWARD DA SILVA AGAPITO</t>
        </is>
      </c>
      <c r="E45" s="29" t="inlineStr">
        <is>
          <t>SIM</t>
        </is>
      </c>
      <c r="F45" s="23">
        <f>A45&amp;"|"&amp;B45</f>
        <v/>
      </c>
    </row>
    <row r="46">
      <c r="A46" s="28" t="n">
        <v>3179</v>
      </c>
      <c r="B46" s="29" t="inlineStr">
        <is>
          <t>Presidente</t>
        </is>
      </c>
      <c r="C46" s="31" t="inlineStr">
        <is>
          <t>rochae@tcd.ie</t>
        </is>
      </c>
      <c r="D46" s="29" t="inlineStr">
        <is>
          <t>ELTON APARECIDO ROCHA</t>
        </is>
      </c>
      <c r="E46" s="29" t="inlineStr">
        <is>
          <t>SIM</t>
        </is>
      </c>
      <c r="F46" s="23">
        <f>A46&amp;"|"&amp;B46</f>
        <v/>
      </c>
    </row>
    <row r="47">
      <c r="A47" s="28" t="n">
        <v>3179</v>
      </c>
      <c r="B47" s="29" t="inlineStr">
        <is>
          <t>1º Mesário</t>
        </is>
      </c>
      <c r="C47" s="31" t="inlineStr">
        <is>
          <t>andersonsilverio14@gmail.com</t>
        </is>
      </c>
      <c r="D47" s="29" t="inlineStr">
        <is>
          <t>ANDERSON SILVERIO DE OLIVEIRA</t>
        </is>
      </c>
      <c r="E47" s="29" t="inlineStr">
        <is>
          <t>NAO</t>
        </is>
      </c>
      <c r="F47" s="23">
        <f>A47&amp;"|"&amp;B47</f>
        <v/>
      </c>
    </row>
    <row r="48">
      <c r="A48" s="28" t="n">
        <v>3179</v>
      </c>
      <c r="B48" s="29" t="inlineStr">
        <is>
          <t>2º Mesário</t>
        </is>
      </c>
      <c r="C48" s="31" t="inlineStr">
        <is>
          <t>jussara.veneza@hotmail.com</t>
        </is>
      </c>
      <c r="D48" s="29" t="inlineStr">
        <is>
          <t>JUSSARA VENEZA SOARES</t>
        </is>
      </c>
      <c r="E48" s="29" t="inlineStr">
        <is>
          <t>NAO</t>
        </is>
      </c>
      <c r="F48" s="23">
        <f>A48&amp;"|"&amp;B48</f>
        <v/>
      </c>
    </row>
    <row r="49">
      <c r="A49" s="28" t="n">
        <v>3179</v>
      </c>
      <c r="B49" s="29" t="inlineStr">
        <is>
          <t>1º Secretário</t>
        </is>
      </c>
      <c r="C49" s="31" t="inlineStr">
        <is>
          <t>perontayna@gmail.com</t>
        </is>
      </c>
      <c r="D49" s="29" t="inlineStr">
        <is>
          <t>TAYNA STETELI PERON LOPES SILVA</t>
        </is>
      </c>
      <c r="E49" s="29" t="inlineStr">
        <is>
          <t>SIM</t>
        </is>
      </c>
      <c r="F49" s="23">
        <f>A49&amp;"|"&amp;B49</f>
        <v/>
      </c>
    </row>
    <row r="50">
      <c r="A50" s="28" t="n">
        <v>3216</v>
      </c>
      <c r="B50" s="29" t="inlineStr">
        <is>
          <t>Presidente</t>
        </is>
      </c>
      <c r="C50" s="31" t="inlineStr">
        <is>
          <t>julianacampos21@hotmail.com</t>
        </is>
      </c>
      <c r="D50" s="29" t="inlineStr">
        <is>
          <t>JULIANA HENRIQUE CAMPOS SILVA</t>
        </is>
      </c>
      <c r="E50" s="29" t="inlineStr">
        <is>
          <t>SIM</t>
        </is>
      </c>
      <c r="F50" s="23">
        <f>A50&amp;"|"&amp;B50</f>
        <v/>
      </c>
    </row>
    <row r="51">
      <c r="A51" s="28" t="n">
        <v>3216</v>
      </c>
      <c r="B51" s="29" t="inlineStr">
        <is>
          <t>1º Mesário</t>
        </is>
      </c>
      <c r="C51" s="31" t="inlineStr">
        <is>
          <t>lilianebr.dublin@gmail.com</t>
        </is>
      </c>
      <c r="D51" s="29" t="inlineStr">
        <is>
          <t>LILIANE SILVA DE SOUZA</t>
        </is>
      </c>
      <c r="E51" s="29" t="inlineStr">
        <is>
          <t>SIM</t>
        </is>
      </c>
      <c r="F51" s="23">
        <f>A51&amp;"|"&amp;B51</f>
        <v/>
      </c>
    </row>
    <row r="52">
      <c r="A52" s="28" t="n">
        <v>3216</v>
      </c>
      <c r="B52" s="29" t="inlineStr">
        <is>
          <t>2º Mesário</t>
        </is>
      </c>
      <c r="C52" s="31" t="inlineStr">
        <is>
          <t>jack_610aparecida@hormail.com</t>
        </is>
      </c>
      <c r="D52" s="29" t="inlineStr">
        <is>
          <t>JAQUELINE APARECIDA TEIXEIRA</t>
        </is>
      </c>
      <c r="E52" s="29" t="inlineStr">
        <is>
          <t>SIM</t>
        </is>
      </c>
      <c r="F52" s="23">
        <f>A52&amp;"|"&amp;B52</f>
        <v/>
      </c>
    </row>
    <row r="53">
      <c r="A53" s="28" t="n">
        <v>3216</v>
      </c>
      <c r="B53" s="29" t="inlineStr">
        <is>
          <t>1º Secretário</t>
        </is>
      </c>
      <c r="C53" s="31" t="inlineStr">
        <is>
          <t>iglesias_diogo@hotmail.com</t>
        </is>
      </c>
      <c r="D53" s="29" t="inlineStr">
        <is>
          <t>DIOGO IGLESIAS CORDEIRO</t>
        </is>
      </c>
      <c r="E53" s="29" t="inlineStr">
        <is>
          <t>SIM</t>
        </is>
      </c>
      <c r="F53" s="23">
        <f>A53&amp;"|"&amp;B53</f>
        <v/>
      </c>
    </row>
    <row r="54">
      <c r="A54" s="28" t="n">
        <v>3229</v>
      </c>
      <c r="B54" s="29" t="inlineStr">
        <is>
          <t>Presidente</t>
        </is>
      </c>
      <c r="C54" s="31" t="inlineStr">
        <is>
          <t>ediones.savaris@gmail.com</t>
        </is>
      </c>
      <c r="D54" s="29" t="inlineStr">
        <is>
          <t>EDIONES DINIZ SAVARIS</t>
        </is>
      </c>
      <c r="E54" s="29" t="inlineStr">
        <is>
          <t>SIM</t>
        </is>
      </c>
      <c r="F54" s="23">
        <f>A54&amp;"|"&amp;B54</f>
        <v/>
      </c>
    </row>
    <row r="55">
      <c r="A55" s="28" t="n">
        <v>3229</v>
      </c>
      <c r="B55" s="29" t="inlineStr">
        <is>
          <t>1º Mesário</t>
        </is>
      </c>
      <c r="C55" s="31" t="inlineStr">
        <is>
          <t>sousa.franciscaa@gmail.com</t>
        </is>
      </c>
      <c r="D55" s="29" t="inlineStr">
        <is>
          <t>FRANCISCA THAMIRES DE SOUSA</t>
        </is>
      </c>
      <c r="E55" s="29" t="inlineStr">
        <is>
          <t>SIM</t>
        </is>
      </c>
      <c r="F55" s="23">
        <f>A55&amp;"|"&amp;B55</f>
        <v/>
      </c>
    </row>
    <row r="56">
      <c r="A56" s="28" t="n">
        <v>3229</v>
      </c>
      <c r="B56" s="29" t="inlineStr">
        <is>
          <t>2º Mesário</t>
        </is>
      </c>
      <c r="C56" s="31" t="inlineStr">
        <is>
          <t>auroramomolina@icloud.com</t>
        </is>
      </c>
      <c r="D56" s="29" t="inlineStr">
        <is>
          <t>AURORA MADRIL OLIVEIRA MOLINA</t>
        </is>
      </c>
      <c r="E56" s="29" t="inlineStr">
        <is>
          <t>SIM</t>
        </is>
      </c>
      <c r="F56" s="23">
        <f>A56&amp;"|"&amp;B56</f>
        <v/>
      </c>
    </row>
    <row r="57">
      <c r="A57" s="28" t="n">
        <v>3229</v>
      </c>
      <c r="B57" s="29" t="inlineStr">
        <is>
          <t>1º Secretário</t>
        </is>
      </c>
      <c r="C57" s="31" t="inlineStr">
        <is>
          <t>lcaprezzi@gmail.com</t>
        </is>
      </c>
      <c r="D57" s="29" t="inlineStr">
        <is>
          <t>LUCAS FEITOSA CLAUDINO</t>
        </is>
      </c>
      <c r="E57" s="29" t="inlineStr">
        <is>
          <t>SIM</t>
        </is>
      </c>
      <c r="F57" s="23">
        <f>A57&amp;"|"&amp;B57</f>
        <v/>
      </c>
    </row>
    <row r="58">
      <c r="A58" s="28" t="n">
        <v>3245</v>
      </c>
      <c r="B58" s="29" t="inlineStr">
        <is>
          <t>Presidente</t>
        </is>
      </c>
      <c r="C58" s="31" t="inlineStr">
        <is>
          <t>marianagasparetti@gmail.com</t>
        </is>
      </c>
      <c r="D58" s="29" t="inlineStr">
        <is>
          <t>MARIANA JURANDIR GASPARETTI</t>
        </is>
      </c>
      <c r="E58" s="29" t="inlineStr">
        <is>
          <t>0006/2026</t>
        </is>
      </c>
      <c r="F58" s="23">
        <f>A58&amp;"|"&amp;B58</f>
        <v/>
      </c>
    </row>
    <row r="59">
      <c r="A59" s="28" t="n">
        <v>3245</v>
      </c>
      <c r="B59" s="29" t="inlineStr">
        <is>
          <t>1º Mesário</t>
        </is>
      </c>
      <c r="C59" s="31" t="inlineStr">
        <is>
          <t>sem contato</t>
        </is>
      </c>
      <c r="D59" s="29" t="inlineStr">
        <is>
          <t>JOAO GABRIEL BARBOSA CESAR</t>
        </is>
      </c>
      <c r="E59" s="29" t="inlineStr">
        <is>
          <t>0006/2026</t>
        </is>
      </c>
      <c r="F59" s="23">
        <f>A59&amp;"|"&amp;B59</f>
        <v/>
      </c>
    </row>
    <row r="60">
      <c r="A60" s="28" t="n">
        <v>3245</v>
      </c>
      <c r="B60" s="29" t="inlineStr">
        <is>
          <t>2º Mesário</t>
        </is>
      </c>
      <c r="C60" s="31" t="inlineStr">
        <is>
          <t>sem contato</t>
        </is>
      </c>
      <c r="D60" s="29" t="inlineStr">
        <is>
          <t>TALITA DE ARAUJO CARVALHO</t>
        </is>
      </c>
      <c r="E60" s="29" t="inlineStr">
        <is>
          <t>0006/2026</t>
        </is>
      </c>
      <c r="F60" s="23">
        <f>A60&amp;"|"&amp;B60</f>
        <v/>
      </c>
    </row>
    <row r="61">
      <c r="A61" s="28" t="n">
        <v>3245</v>
      </c>
      <c r="B61" s="29" t="inlineStr">
        <is>
          <t>1º Secretário</t>
        </is>
      </c>
      <c r="C61" s="31" t="inlineStr">
        <is>
          <t xml:space="preserve"> voliveira@gmail.com</t>
        </is>
      </c>
      <c r="D61" s="29" t="inlineStr">
        <is>
          <t>VINICIUS ARAUJO DE OLIVEIRA</t>
        </is>
      </c>
      <c r="E61" s="29" t="inlineStr">
        <is>
          <t>-</t>
        </is>
      </c>
      <c r="F61" s="23">
        <f>A61&amp;"|"&amp;B61</f>
        <v/>
      </c>
    </row>
    <row r="62">
      <c r="A62" s="28" t="n">
        <v>3302</v>
      </c>
      <c r="B62" s="29" t="inlineStr">
        <is>
          <t>Presidente</t>
        </is>
      </c>
      <c r="C62" s="31" t="inlineStr">
        <is>
          <t>malumorgante@gmail.com</t>
        </is>
      </c>
      <c r="D62" s="29" t="inlineStr">
        <is>
          <t>MARIA LUCIA MORGANTE DE MIRANDA</t>
        </is>
      </c>
      <c r="E62" s="29" t="inlineStr">
        <is>
          <t>SIM</t>
        </is>
      </c>
      <c r="F62" s="23">
        <f>A62&amp;"|"&amp;B62</f>
        <v/>
      </c>
    </row>
    <row r="63">
      <c r="A63" s="28" t="n">
        <v>3302</v>
      </c>
      <c r="B63" s="29" t="inlineStr">
        <is>
          <t>1º Mesário</t>
        </is>
      </c>
      <c r="C63" s="31" t="inlineStr">
        <is>
          <t>s.caetanoregina1979@gmail.com</t>
        </is>
      </c>
      <c r="D63" s="29" t="inlineStr">
        <is>
          <t>SANDRA REGINA CAETANO DE SOUZA</t>
        </is>
      </c>
      <c r="E63" s="29" t="inlineStr">
        <is>
          <t>SIM</t>
        </is>
      </c>
      <c r="F63" s="23">
        <f>A63&amp;"|"&amp;B63</f>
        <v/>
      </c>
    </row>
    <row r="64">
      <c r="A64" s="28" t="n">
        <v>3302</v>
      </c>
      <c r="B64" s="29" t="inlineStr">
        <is>
          <t>2º Mesário</t>
        </is>
      </c>
      <c r="C64" s="31" t="inlineStr">
        <is>
          <t>renan.williandc@gmail.com</t>
        </is>
      </c>
      <c r="D64" s="29" t="inlineStr">
        <is>
          <t>RENAN WILLIAN DA COSTA</t>
        </is>
      </c>
      <c r="E64" s="29" t="inlineStr">
        <is>
          <t>SIM</t>
        </is>
      </c>
      <c r="F64" s="23">
        <f>A64&amp;"|"&amp;B64</f>
        <v/>
      </c>
    </row>
    <row r="65">
      <c r="A65" s="28" t="n">
        <v>3302</v>
      </c>
      <c r="B65" s="29" t="inlineStr">
        <is>
          <t>1º Secretário</t>
        </is>
      </c>
      <c r="C65" s="31" t="inlineStr">
        <is>
          <t>Tiagocare@icloud.com</t>
        </is>
      </c>
      <c r="D65" s="29" t="inlineStr">
        <is>
          <t>TIAGO PAIVA DE CARVALHO</t>
        </is>
      </c>
      <c r="E65" s="29" t="inlineStr">
        <is>
          <t>SIM</t>
        </is>
      </c>
      <c r="F65" s="23">
        <f>A65&amp;"|"&amp;B65</f>
        <v/>
      </c>
    </row>
    <row r="66">
      <c r="A66" s="28" t="n">
        <v>3305</v>
      </c>
      <c r="B66" s="29" t="inlineStr">
        <is>
          <t>Presidente</t>
        </is>
      </c>
      <c r="C66" s="31" t="inlineStr">
        <is>
          <t>sem contato</t>
        </is>
      </c>
      <c r="D66" s="29" t="inlineStr">
        <is>
          <t>SARA RODRIGUES GOMES</t>
        </is>
      </c>
      <c r="E66" s="29" t="inlineStr">
        <is>
          <t>0006/2026</t>
        </is>
      </c>
      <c r="F66" s="23">
        <f>A66&amp;"|"&amp;B66</f>
        <v/>
      </c>
    </row>
    <row r="67">
      <c r="A67" s="28" t="n">
        <v>3305</v>
      </c>
      <c r="B67" s="29" t="inlineStr">
        <is>
          <t>1º Mesário</t>
        </is>
      </c>
      <c r="C67" s="31" t="inlineStr">
        <is>
          <t xml:space="preserve">353helenafranmalves@gmail.com </t>
        </is>
      </c>
      <c r="D67" s="29" t="inlineStr">
        <is>
          <t>MARIA HELENA DE FRANÇA MELLO ALVES</t>
        </is>
      </c>
      <c r="E67" s="29" t="inlineStr">
        <is>
          <t>0006/2026</t>
        </is>
      </c>
      <c r="F67" s="23">
        <f>A67&amp;"|"&amp;B67</f>
        <v/>
      </c>
    </row>
    <row r="68">
      <c r="A68" s="28" t="n">
        <v>3305</v>
      </c>
      <c r="B68" s="29" t="inlineStr">
        <is>
          <t>2º Mesário</t>
        </is>
      </c>
      <c r="C68" s="31" t="inlineStr">
        <is>
          <t>ftrindade3411@gmail.com</t>
        </is>
      </c>
      <c r="D68" s="29" t="inlineStr">
        <is>
          <t>FÁBIO MARCELO DA TRINDADE</t>
        </is>
      </c>
      <c r="E68" s="29" t="inlineStr">
        <is>
          <t>0006/2026</t>
        </is>
      </c>
      <c r="F68" s="23">
        <f>A68&amp;"|"&amp;B68</f>
        <v/>
      </c>
    </row>
    <row r="69">
      <c r="A69" s="28" t="n">
        <v>3305</v>
      </c>
      <c r="B69" s="29" t="inlineStr">
        <is>
          <t>1º Secretário</t>
        </is>
      </c>
      <c r="C69" s="31" t="inlineStr">
        <is>
          <t>fagneralmeidamorais@gmail.com</t>
        </is>
      </c>
      <c r="D69" s="29" t="inlineStr">
        <is>
          <t>FAGNER DE PAULA ALMEIDA MORAIS</t>
        </is>
      </c>
      <c r="E69" s="29" t="inlineStr">
        <is>
          <t>0006/2026</t>
        </is>
      </c>
      <c r="F69" s="23">
        <f>A69&amp;"|"&amp;B69</f>
        <v/>
      </c>
    </row>
    <row r="70">
      <c r="A70" s="28" t="n">
        <v>3306</v>
      </c>
      <c r="B70" s="29" t="inlineStr">
        <is>
          <t>Presidente</t>
        </is>
      </c>
      <c r="C70" s="31" t="inlineStr">
        <is>
          <t>julianawongm@gmail.com</t>
        </is>
      </c>
      <c r="D70" s="29" t="inlineStr">
        <is>
          <t>JULIANA WONG MENDONÇA</t>
        </is>
      </c>
      <c r="E70" s="29" t="inlineStr">
        <is>
          <t>SIM</t>
        </is>
      </c>
      <c r="F70" s="23">
        <f>A70&amp;"|"&amp;B70</f>
        <v/>
      </c>
    </row>
    <row r="71">
      <c r="A71" s="28" t="n">
        <v>3306</v>
      </c>
      <c r="B71" s="29" t="inlineStr">
        <is>
          <t>1º Mesário</t>
        </is>
      </c>
      <c r="C71" s="31" t="inlineStr">
        <is>
          <t xml:space="preserve">luisamontecarmelo@gmail.com </t>
        </is>
      </c>
      <c r="D71" s="29" t="inlineStr">
        <is>
          <t>LUISA OLIVEIRA DO MONTE CARMELO</t>
        </is>
      </c>
      <c r="E71" s="29" t="inlineStr">
        <is>
          <t>SIM</t>
        </is>
      </c>
      <c r="F71" s="23">
        <f>A71&amp;"|"&amp;B71</f>
        <v/>
      </c>
    </row>
    <row r="72">
      <c r="A72" s="28" t="n">
        <v>3306</v>
      </c>
      <c r="B72" s="29" t="inlineStr">
        <is>
          <t>2º Mesário</t>
        </is>
      </c>
      <c r="C72" s="31" t="inlineStr">
        <is>
          <t>maiik5463@hotmail.com</t>
        </is>
      </c>
      <c r="D72" s="29" t="inlineStr">
        <is>
          <t>MICHAEL DA COSTA MUNIZ</t>
        </is>
      </c>
      <c r="E72" s="29" t="inlineStr">
        <is>
          <t>SIM</t>
        </is>
      </c>
      <c r="F72" s="23">
        <f>A72&amp;"|"&amp;B72</f>
        <v/>
      </c>
    </row>
    <row r="73">
      <c r="A73" s="28" t="n">
        <v>3306</v>
      </c>
      <c r="B73" s="29" t="inlineStr">
        <is>
          <t>1º Secretário</t>
        </is>
      </c>
      <c r="C73" s="31" t="inlineStr">
        <is>
          <t>matheuslw@gmail.com</t>
        </is>
      </c>
      <c r="D73" s="29" t="inlineStr">
        <is>
          <t>MATHEUS CARVALHO MENDONCA</t>
        </is>
      </c>
      <c r="E73" s="29" t="inlineStr">
        <is>
          <t>SIM</t>
        </is>
      </c>
      <c r="F73" s="23">
        <f>A73&amp;"|"&amp;B73</f>
        <v/>
      </c>
    </row>
    <row r="74">
      <c r="A74" s="28" t="n">
        <v>3308</v>
      </c>
      <c r="B74" s="29" t="inlineStr">
        <is>
          <t>Presidente</t>
        </is>
      </c>
      <c r="C74" s="31" t="inlineStr">
        <is>
          <t>kaique.aquino.oliveira@esb.ie</t>
        </is>
      </c>
      <c r="D74" s="29" t="inlineStr">
        <is>
          <t>KAIQUE AQUINO OLIVEIRA</t>
        </is>
      </c>
      <c r="E74" s="29" t="inlineStr">
        <is>
          <t>SIM</t>
        </is>
      </c>
      <c r="F74" s="23">
        <f>A74&amp;"|"&amp;B74</f>
        <v/>
      </c>
    </row>
    <row r="75">
      <c r="A75" s="28" t="n">
        <v>3308</v>
      </c>
      <c r="B75" s="29" t="inlineStr">
        <is>
          <t>1º Mesário</t>
        </is>
      </c>
      <c r="C75" s="31" t="inlineStr">
        <is>
          <t>krla.dublin16@gmail.com</t>
        </is>
      </c>
      <c r="D75" s="29" t="inlineStr">
        <is>
          <t>CARLA RIBEIRO DOS SANTOS SIMOES</t>
        </is>
      </c>
      <c r="E75" s="29" t="inlineStr">
        <is>
          <t>SIM</t>
        </is>
      </c>
      <c r="F75" s="23">
        <f>A75&amp;"|"&amp;B75</f>
        <v/>
      </c>
    </row>
    <row r="76">
      <c r="A76" s="28" t="n">
        <v>3308</v>
      </c>
      <c r="B76" s="29" t="inlineStr">
        <is>
          <t>2º Mesário</t>
        </is>
      </c>
      <c r="C76" s="31" t="inlineStr">
        <is>
          <t>louiseandrielleprandi@gmail.com</t>
        </is>
      </c>
      <c r="D76" s="29" t="inlineStr">
        <is>
          <t>LOUISE ANDRIELLE PRANDI</t>
        </is>
      </c>
      <c r="E76" s="29" t="inlineStr">
        <is>
          <t>SIM</t>
        </is>
      </c>
      <c r="F76" s="23">
        <f>A76&amp;"|"&amp;B76</f>
        <v/>
      </c>
    </row>
    <row r="77">
      <c r="A77" s="28" t="n">
        <v>3308</v>
      </c>
      <c r="B77" s="29" t="inlineStr">
        <is>
          <t>1º Secretário</t>
        </is>
      </c>
      <c r="C77" s="31" t="inlineStr">
        <is>
          <t>paulalimao88@hotmail.com</t>
        </is>
      </c>
      <c r="D77" s="29" t="inlineStr">
        <is>
          <t>PAULA LIMÃO DE CAMPOS</t>
        </is>
      </c>
      <c r="E77" s="29" t="inlineStr">
        <is>
          <t>SIM</t>
        </is>
      </c>
      <c r="F77" s="23">
        <f>A77&amp;"|"&amp;B77</f>
        <v/>
      </c>
    </row>
    <row r="78">
      <c r="A78" s="28" t="n">
        <v>3309</v>
      </c>
      <c r="B78" s="29" t="inlineStr">
        <is>
          <t>Presidente</t>
        </is>
      </c>
      <c r="C78" s="31" t="inlineStr">
        <is>
          <t>rogergoes@hotmail.com</t>
        </is>
      </c>
      <c r="D78" s="29" t="inlineStr">
        <is>
          <t>ROGERIO LINHARES GOES</t>
        </is>
      </c>
      <c r="E78" s="29" t="inlineStr">
        <is>
          <t>SIM</t>
        </is>
      </c>
      <c r="F78" s="23">
        <f>A78&amp;"|"&amp;B78</f>
        <v/>
      </c>
    </row>
    <row r="79">
      <c r="A79" s="28" t="n">
        <v>3309</v>
      </c>
      <c r="B79" s="29" t="inlineStr">
        <is>
          <t>1º Mesário</t>
        </is>
      </c>
      <c r="C79" s="31" t="inlineStr">
        <is>
          <t>paulacipro@gmail.com</t>
        </is>
      </c>
      <c r="D79" s="29" t="inlineStr">
        <is>
          <t>PAULA CIPRO CARVALHO CAMPOS</t>
        </is>
      </c>
      <c r="E79" s="29" t="inlineStr">
        <is>
          <t>SIM</t>
        </is>
      </c>
      <c r="F79" s="23">
        <f>A79&amp;"|"&amp;B79</f>
        <v/>
      </c>
    </row>
    <row r="80">
      <c r="A80" s="28" t="n">
        <v>3309</v>
      </c>
      <c r="B80" s="29" t="inlineStr">
        <is>
          <t>2º Mesário</t>
        </is>
      </c>
      <c r="C80" s="31" t="inlineStr">
        <is>
          <t>luamdmoreira@gmail.com</t>
        </is>
      </c>
      <c r="D80" s="29" t="inlineStr">
        <is>
          <t>LUAM DUANE ANDRADE MOREIRA</t>
        </is>
      </c>
      <c r="E80" s="29" t="inlineStr">
        <is>
          <t>SIM</t>
        </is>
      </c>
      <c r="F80" s="23">
        <f>A80&amp;"|"&amp;B80</f>
        <v/>
      </c>
    </row>
    <row r="81">
      <c r="A81" s="28" t="n">
        <v>3309</v>
      </c>
      <c r="B81" s="29" t="inlineStr">
        <is>
          <t>1º Secretário</t>
        </is>
      </c>
      <c r="C81" s="31" t="n"/>
      <c r="D81" s="29" t="inlineStr">
        <is>
          <t>SARA SOBRAL DIAS</t>
        </is>
      </c>
      <c r="E81" s="29" t="inlineStr">
        <is>
          <t>SIM</t>
        </is>
      </c>
      <c r="F81" s="23">
        <f>A81&amp;"|"&amp;B81</f>
        <v/>
      </c>
    </row>
    <row r="82">
      <c r="A82" s="28" t="n">
        <v>3311</v>
      </c>
      <c r="B82" s="29" t="inlineStr">
        <is>
          <t>Presidente</t>
        </is>
      </c>
      <c r="C82" s="31" t="inlineStr">
        <is>
          <t>saradias1@gmail.com</t>
        </is>
      </c>
      <c r="D82" s="29" t="inlineStr">
        <is>
          <t>FLAVIA NASCIMENTO DE SOUZA</t>
        </is>
      </c>
      <c r="E82" s="29" t="inlineStr">
        <is>
          <t>-</t>
        </is>
      </c>
      <c r="F82" s="23">
        <f>A82&amp;"|"&amp;B82</f>
        <v/>
      </c>
    </row>
    <row r="83">
      <c r="A83" s="28" t="n">
        <v>3311</v>
      </c>
      <c r="B83" s="29" t="inlineStr">
        <is>
          <t>1º Mesário</t>
        </is>
      </c>
      <c r="C83" s="31" t="inlineStr">
        <is>
          <t xml:space="preserve"> rodrigoerasmobarboza@gmail.com</t>
        </is>
      </c>
      <c r="D83" s="29" t="inlineStr">
        <is>
          <t>RODRIGO ERASMO BARBOZA</t>
        </is>
      </c>
      <c r="E83" s="29" t="inlineStr">
        <is>
          <t>-</t>
        </is>
      </c>
      <c r="F83" s="23">
        <f>A83&amp;"|"&amp;B83</f>
        <v/>
      </c>
    </row>
    <row r="84">
      <c r="A84" s="28" t="n">
        <v>3311</v>
      </c>
      <c r="B84" s="29" t="inlineStr">
        <is>
          <t>2º Mesário</t>
        </is>
      </c>
      <c r="C84" s="31" t="inlineStr">
        <is>
          <t>ednaldo283@gmail.com</t>
        </is>
      </c>
      <c r="D84" s="29" t="inlineStr">
        <is>
          <t>EDNALDO AZEVEDO DE NORONHA</t>
        </is>
      </c>
      <c r="E84" s="29" t="inlineStr">
        <is>
          <t>0006/2026</t>
        </is>
      </c>
      <c r="F84" s="23">
        <f>A84&amp;"|"&amp;B84</f>
        <v/>
      </c>
    </row>
    <row r="85">
      <c r="A85" s="28" t="n">
        <v>3311</v>
      </c>
      <c r="B85" s="29" t="inlineStr">
        <is>
          <t>1º Secretário</t>
        </is>
      </c>
      <c r="C85" s="31" t="inlineStr">
        <is>
          <t>thaisterencio@hotmail.com</t>
        </is>
      </c>
      <c r="D85" s="29" t="inlineStr">
        <is>
          <t>THAÍS TERÊNCIO PEREIRA</t>
        </is>
      </c>
      <c r="E85" s="29" t="inlineStr">
        <is>
          <t>0006/2026</t>
        </is>
      </c>
      <c r="F85" s="23">
        <f>A85&amp;"|"&amp;B85</f>
        <v/>
      </c>
    </row>
    <row r="86">
      <c r="A86" s="28" t="n">
        <v>3313</v>
      </c>
      <c r="B86" s="29" t="inlineStr">
        <is>
          <t>Presidente</t>
        </is>
      </c>
      <c r="C86" s="31" t="inlineStr">
        <is>
          <t>vanessa.barbosa@itamaraty.gov.br</t>
        </is>
      </c>
      <c r="D86" s="29" t="inlineStr">
        <is>
          <t>VANESSA ROCHA BARBOSA BARBALHO</t>
        </is>
      </c>
      <c r="E86" s="29" t="inlineStr">
        <is>
          <t>SIM</t>
        </is>
      </c>
      <c r="F86" s="23">
        <f>A86&amp;"|"&amp;B86</f>
        <v/>
      </c>
    </row>
    <row r="87">
      <c r="A87" s="28" t="n">
        <v>3313</v>
      </c>
      <c r="B87" s="29" t="inlineStr">
        <is>
          <t>1º Mesário</t>
        </is>
      </c>
      <c r="C87" s="31" t="inlineStr">
        <is>
          <t>leilarosaria@yahoo.com.br</t>
        </is>
      </c>
      <c r="D87" s="29" t="inlineStr">
        <is>
          <t>LEILA ROSARIA LIOTTA</t>
        </is>
      </c>
      <c r="E87" s="29" t="inlineStr">
        <is>
          <t>SIM</t>
        </is>
      </c>
      <c r="F87" s="23">
        <f>A87&amp;"|"&amp;B87</f>
        <v/>
      </c>
    </row>
    <row r="88">
      <c r="A88" s="28" t="n">
        <v>3313</v>
      </c>
      <c r="B88" s="29" t="inlineStr">
        <is>
          <t>2º Mesário</t>
        </is>
      </c>
      <c r="C88" s="31" t="inlineStr">
        <is>
          <t xml:space="preserve">danielpessoa.cardeal@gmail.com </t>
        </is>
      </c>
      <c r="D88" s="29" t="inlineStr">
        <is>
          <t>DANIEL PESSOA CARDEAL</t>
        </is>
      </c>
      <c r="E88" s="29" t="inlineStr">
        <is>
          <t>SIM</t>
        </is>
      </c>
      <c r="F88" s="23">
        <f>A88&amp;"|"&amp;B88</f>
        <v/>
      </c>
    </row>
    <row r="89">
      <c r="A89" s="28" t="n">
        <v>3313</v>
      </c>
      <c r="B89" s="29" t="inlineStr">
        <is>
          <t>1º Secretário</t>
        </is>
      </c>
      <c r="C89" s="31" t="inlineStr">
        <is>
          <t>sandro.cunha2008@gmail.com</t>
        </is>
      </c>
      <c r="D89" s="29" t="inlineStr">
        <is>
          <t>SANDRO CUNHA DA SILVA</t>
        </is>
      </c>
      <c r="E89" s="29" t="inlineStr">
        <is>
          <t>SIM</t>
        </is>
      </c>
      <c r="F89" s="23">
        <f>A89&amp;"|"&amp;B89</f>
        <v/>
      </c>
    </row>
    <row r="90">
      <c r="A90" s="28" t="n">
        <v>3315</v>
      </c>
      <c r="B90" s="29" t="inlineStr">
        <is>
          <t>Presidente</t>
        </is>
      </c>
      <c r="C90" s="31" t="inlineStr">
        <is>
          <t>jair.correia@itamaraty.gov.br</t>
        </is>
      </c>
      <c r="D90" s="29" t="inlineStr">
        <is>
          <t>JAIR DE ASSUNÇÃO CORREIA FILHO</t>
        </is>
      </c>
      <c r="E90" s="29" t="inlineStr">
        <is>
          <t>SIM</t>
        </is>
      </c>
      <c r="F90" s="23">
        <f>A90&amp;"|"&amp;B90</f>
        <v/>
      </c>
    </row>
    <row r="91">
      <c r="A91" s="28" t="n">
        <v>3315</v>
      </c>
      <c r="B91" s="29" t="inlineStr">
        <is>
          <t>1º Mesário</t>
        </is>
      </c>
      <c r="C91" s="31" t="inlineStr">
        <is>
          <t>alaf.ribeiro.965@gmail.com</t>
        </is>
      </c>
      <c r="D91" s="29" t="inlineStr">
        <is>
          <t>HUMBERTO ALAF RIBEIRO MARTINS</t>
        </is>
      </c>
      <c r="E91" s="29" t="inlineStr">
        <is>
          <t>SIM</t>
        </is>
      </c>
      <c r="F91" s="23">
        <f>A91&amp;"|"&amp;B91</f>
        <v/>
      </c>
    </row>
    <row r="92">
      <c r="A92" s="28" t="n">
        <v>3315</v>
      </c>
      <c r="B92" s="29" t="inlineStr">
        <is>
          <t>2º Mesário</t>
        </is>
      </c>
      <c r="C92" s="31" t="inlineStr">
        <is>
          <t>jmendes_mendes@live.com</t>
        </is>
      </c>
      <c r="D92" s="29" t="inlineStr">
        <is>
          <t>JESSICA MENDES</t>
        </is>
      </c>
      <c r="E92" s="29" t="inlineStr">
        <is>
          <t>SIM</t>
        </is>
      </c>
      <c r="F92" s="23">
        <f>A92&amp;"|"&amp;B92</f>
        <v/>
      </c>
    </row>
    <row r="93">
      <c r="A93" s="28" t="n">
        <v>3315</v>
      </c>
      <c r="B93" s="29" t="inlineStr">
        <is>
          <t>1º Secretário</t>
        </is>
      </c>
      <c r="C93" s="31" t="inlineStr">
        <is>
          <t>alanegerssicaandrade@gmail.com</t>
        </is>
      </c>
      <c r="D93" s="29" t="inlineStr">
        <is>
          <t>ALANE GERSSICA DE ANDRADE DO NASCIMENTO</t>
        </is>
      </c>
      <c r="E93" s="29" t="inlineStr">
        <is>
          <t>SIM</t>
        </is>
      </c>
      <c r="F93" s="23">
        <f>A93&amp;"|"&amp;B93</f>
        <v/>
      </c>
    </row>
    <row r="94">
      <c r="A94" s="28" t="n">
        <v>3322</v>
      </c>
      <c r="B94" s="29" t="inlineStr">
        <is>
          <t>Presidente</t>
        </is>
      </c>
      <c r="C94" s="31" t="inlineStr">
        <is>
          <t>maira.fabiani@itamaraty.gov.br</t>
        </is>
      </c>
      <c r="D94" s="29" t="inlineStr">
        <is>
          <t>MAÍRA FABIOLA FABIANI</t>
        </is>
      </c>
      <c r="E94" s="29" t="inlineStr">
        <is>
          <t>SIM</t>
        </is>
      </c>
      <c r="F94" s="23">
        <f>A94&amp;"|"&amp;B94</f>
        <v/>
      </c>
    </row>
    <row r="95">
      <c r="A95" s="28" t="n">
        <v>3322</v>
      </c>
      <c r="B95" s="29" t="inlineStr">
        <is>
          <t>1º Mesário</t>
        </is>
      </c>
      <c r="C95" s="31" t="inlineStr">
        <is>
          <t>alves.brenda65@gmail.com</t>
        </is>
      </c>
      <c r="D95" s="29" t="inlineStr">
        <is>
          <t>BRENDA ALVES DA SILVA</t>
        </is>
      </c>
      <c r="E95" s="29" t="inlineStr">
        <is>
          <t>NAO</t>
        </is>
      </c>
      <c r="F95" s="23">
        <f>A95&amp;"|"&amp;B95</f>
        <v/>
      </c>
    </row>
    <row r="96">
      <c r="A96" s="28" t="n">
        <v>3322</v>
      </c>
      <c r="B96" s="29" t="inlineStr">
        <is>
          <t>2º Mesário</t>
        </is>
      </c>
      <c r="C96" s="31" t="n"/>
      <c r="D96" s="29" t="inlineStr">
        <is>
          <t>RUDINEI CORDEIRO</t>
        </is>
      </c>
      <c r="E96" s="29" t="inlineStr">
        <is>
          <t>NAO</t>
        </is>
      </c>
      <c r="F96" s="23">
        <f>A96&amp;"|"&amp;B96</f>
        <v/>
      </c>
    </row>
    <row r="97">
      <c r="A97" s="28" t="n">
        <v>3322</v>
      </c>
      <c r="B97" s="29" t="inlineStr">
        <is>
          <t>1º Secretário</t>
        </is>
      </c>
      <c r="C97" s="31" t="inlineStr">
        <is>
          <t>nadiaweber12@yahoo.com.br</t>
        </is>
      </c>
      <c r="D97" s="29" t="inlineStr">
        <is>
          <t>NADIA FERNANDA WEBER</t>
        </is>
      </c>
      <c r="E97" s="29" t="inlineStr">
        <is>
          <t>SIM</t>
        </is>
      </c>
      <c r="F97" s="23">
        <f>A97&amp;"|"&amp;B97</f>
        <v/>
      </c>
    </row>
    <row r="98">
      <c r="A98" s="28" t="n">
        <v>3442</v>
      </c>
      <c r="B98" s="29" t="inlineStr">
        <is>
          <t>Presidente</t>
        </is>
      </c>
      <c r="C98" s="31" t="inlineStr">
        <is>
          <t>danferrareis@hotmail.com</t>
        </is>
      </c>
      <c r="D98" s="29" t="inlineStr">
        <is>
          <t>DANILO ANDERSON FERRAREIS</t>
        </is>
      </c>
      <c r="E98" s="29" t="inlineStr">
        <is>
          <t>SIM</t>
        </is>
      </c>
      <c r="F98" s="23">
        <f>A98&amp;"|"&amp;B98</f>
        <v/>
      </c>
    </row>
    <row r="99">
      <c r="A99" s="28" t="n">
        <v>3442</v>
      </c>
      <c r="B99" s="29" t="inlineStr">
        <is>
          <t>1º Mesário</t>
        </is>
      </c>
      <c r="C99" s="31" t="inlineStr">
        <is>
          <t>tstrhgt@gmail.com</t>
        </is>
      </c>
      <c r="D99" s="29" t="inlineStr">
        <is>
          <t>GUSTAVO DAVID LOPES</t>
        </is>
      </c>
      <c r="E99" s="29" t="inlineStr">
        <is>
          <t>NAO</t>
        </is>
      </c>
      <c r="F99" s="23">
        <f>A99&amp;"|"&amp;B99</f>
        <v/>
      </c>
    </row>
    <row r="100" ht="16.5" customHeight="1">
      <c r="A100" s="28" t="n">
        <v>3442</v>
      </c>
      <c r="B100" s="29" t="inlineStr">
        <is>
          <t>2º Mesário</t>
        </is>
      </c>
      <c r="C100" s="31" t="inlineStr">
        <is>
          <t>tifanyazuma@outlook.com</t>
        </is>
      </c>
      <c r="D100" s="29" t="inlineStr">
        <is>
          <t>TIFANY AZUMA TROMBINO XANDÚ</t>
        </is>
      </c>
      <c r="E100" s="29" t="inlineStr">
        <is>
          <t>NAO</t>
        </is>
      </c>
      <c r="F100" s="23">
        <f>A100&amp;"|"&amp;B100</f>
        <v/>
      </c>
    </row>
    <row r="101">
      <c r="A101" s="28" t="n">
        <v>3442</v>
      </c>
      <c r="B101" s="29" t="inlineStr">
        <is>
          <t>1º Secretário</t>
        </is>
      </c>
      <c r="C101" s="31" t="inlineStr">
        <is>
          <t>Nicolicamilo@hotmail.com</t>
        </is>
      </c>
      <c r="D101" s="29" t="inlineStr">
        <is>
          <t>NICOLI CAMPOS CAMILO</t>
        </is>
      </c>
      <c r="E101" s="29" t="inlineStr">
        <is>
          <t>SIM</t>
        </is>
      </c>
      <c r="F101" s="23">
        <f>A101&amp;"|"&amp;B101</f>
        <v/>
      </c>
    </row>
    <row r="102">
      <c r="A102" s="28" t="n">
        <v>3688</v>
      </c>
      <c r="B102" s="29" t="inlineStr">
        <is>
          <t>Presidente</t>
        </is>
      </c>
      <c r="C102" s="31" t="inlineStr">
        <is>
          <t>juliana.nunes2010@hotmail.com</t>
        </is>
      </c>
      <c r="D102" s="29" t="inlineStr">
        <is>
          <t>JULIANA NUNES DE MENDONÇA</t>
        </is>
      </c>
      <c r="E102" s="29" t="inlineStr">
        <is>
          <t>SIM</t>
        </is>
      </c>
      <c r="F102" s="23">
        <f>A102&amp;"|"&amp;B102</f>
        <v/>
      </c>
    </row>
    <row r="103">
      <c r="A103" s="28" t="n">
        <v>3688</v>
      </c>
      <c r="B103" s="29" t="inlineStr">
        <is>
          <t>1º Mesário</t>
        </is>
      </c>
      <c r="C103" s="31" t="inlineStr">
        <is>
          <t>laurabvieiras@gmail.com</t>
        </is>
      </c>
      <c r="D103" s="29" t="inlineStr">
        <is>
          <t>LAURA BEATRIZ VIEIRA SANTOS</t>
        </is>
      </c>
      <c r="E103" s="29" t="inlineStr">
        <is>
          <t>NAO</t>
        </is>
      </c>
      <c r="F103" s="23">
        <f>A103&amp;"|"&amp;B103</f>
        <v/>
      </c>
    </row>
    <row r="104">
      <c r="A104" s="28" t="n">
        <v>3688</v>
      </c>
      <c r="B104" s="29" t="inlineStr">
        <is>
          <t>2º Mesário</t>
        </is>
      </c>
      <c r="C104" s="31" t="n"/>
      <c r="D104" s="29" t="inlineStr">
        <is>
          <t>DIEGO MENDANHA DA SILVA MAIA</t>
        </is>
      </c>
      <c r="E104" s="29" t="inlineStr">
        <is>
          <t>SIM</t>
        </is>
      </c>
      <c r="F104" s="23">
        <f>A104&amp;"|"&amp;B104</f>
        <v/>
      </c>
    </row>
    <row r="105">
      <c r="A105" s="28" t="n">
        <v>3688</v>
      </c>
      <c r="B105" s="29" t="inlineStr">
        <is>
          <t>1º Secretário</t>
        </is>
      </c>
      <c r="C105" s="31" t="inlineStr">
        <is>
          <t>lauroramos@outlook.com</t>
        </is>
      </c>
      <c r="D105" s="29" t="inlineStr">
        <is>
          <t>LAURO SILVA RAMOS</t>
        </is>
      </c>
      <c r="E105" s="29" t="inlineStr">
        <is>
          <t>NAO</t>
        </is>
      </c>
      <c r="F105" s="23">
        <f>A105&amp;"|"&amp;B105</f>
        <v/>
      </c>
    </row>
    <row r="106">
      <c r="A106" s="28" t="n">
        <v>3832</v>
      </c>
      <c r="B106" s="29" t="inlineStr">
        <is>
          <t>Presidente</t>
        </is>
      </c>
      <c r="C106" s="31" t="inlineStr">
        <is>
          <t>sem contato</t>
        </is>
      </c>
      <c r="D106" s="29" t="inlineStr">
        <is>
          <t>GILMAR BARBOSA DE SOUZA</t>
        </is>
      </c>
      <c r="E106" s="29" t="inlineStr">
        <is>
          <t>SIM</t>
        </is>
      </c>
      <c r="F106" s="23">
        <f>A106&amp;"|"&amp;B106</f>
        <v/>
      </c>
    </row>
    <row r="107">
      <c r="A107" s="28" t="n">
        <v>3832</v>
      </c>
      <c r="B107" s="29" t="inlineStr">
        <is>
          <t>1º Mesário</t>
        </is>
      </c>
      <c r="C107" s="31" t="inlineStr">
        <is>
          <t>marinacoutor@gmail.com</t>
        </is>
      </c>
      <c r="D107" s="29" t="inlineStr">
        <is>
          <t>MARINA RODRIGUES COUTO</t>
        </is>
      </c>
      <c r="E107" s="29" t="inlineStr">
        <is>
          <t>SIM</t>
        </is>
      </c>
      <c r="F107" s="23">
        <f>A107&amp;"|"&amp;B107</f>
        <v/>
      </c>
    </row>
    <row r="108">
      <c r="A108" s="28" t="n">
        <v>3832</v>
      </c>
      <c r="B108" s="29" t="inlineStr">
        <is>
          <t>2º Mesário</t>
        </is>
      </c>
      <c r="C108" s="31" t="inlineStr">
        <is>
          <t>robertocanallijr@gmail.com</t>
        </is>
      </c>
      <c r="D108" s="29" t="inlineStr">
        <is>
          <t>ROBERTO CANALLI JUNIOR</t>
        </is>
      </c>
      <c r="E108" s="29" t="inlineStr">
        <is>
          <t>SIM</t>
        </is>
      </c>
      <c r="F108" s="23">
        <f>A108&amp;"|"&amp;B108</f>
        <v/>
      </c>
    </row>
    <row r="109">
      <c r="A109" s="28" t="n">
        <v>3832</v>
      </c>
      <c r="B109" s="29" t="inlineStr">
        <is>
          <t>1º Secretário</t>
        </is>
      </c>
      <c r="C109" s="31" t="inlineStr">
        <is>
          <t>thaylaeugeniob@gmail.com</t>
        </is>
      </c>
      <c r="D109" s="29" t="inlineStr">
        <is>
          <t>THAYLA CHRISTINE EUGENIO BENTO</t>
        </is>
      </c>
      <c r="E109" s="29" t="inlineStr">
        <is>
          <t>SIM</t>
        </is>
      </c>
      <c r="F109" s="23">
        <f>A109&amp;"|"&amp;B109</f>
        <v/>
      </c>
    </row>
    <row r="110">
      <c r="A110" s="28" t="n">
        <v>3862</v>
      </c>
      <c r="B110" s="29" t="inlineStr">
        <is>
          <t>Presidente</t>
        </is>
      </c>
      <c r="C110" s="31" t="inlineStr">
        <is>
          <t>emillylaise@outlook.com</t>
        </is>
      </c>
      <c r="D110" s="29" t="inlineStr">
        <is>
          <t>EMILLY LAÍSE PARDO XAVIER</t>
        </is>
      </c>
      <c r="E110" s="29" t="inlineStr">
        <is>
          <t>SIM</t>
        </is>
      </c>
      <c r="F110" s="23">
        <f>A110&amp;"|"&amp;B110</f>
        <v/>
      </c>
    </row>
    <row r="111">
      <c r="A111" s="28" t="n">
        <v>3862</v>
      </c>
      <c r="B111" s="29" t="inlineStr">
        <is>
          <t>1º Mesário</t>
        </is>
      </c>
      <c r="C111" s="31" t="inlineStr">
        <is>
          <t xml:space="preserve">cabralbruma@gmail.com </t>
        </is>
      </c>
      <c r="D111" s="29" t="inlineStr">
        <is>
          <t>BRUNA MARIA DE ALMEIDA CABRAL</t>
        </is>
      </c>
      <c r="E111" s="29" t="inlineStr">
        <is>
          <t>SIM</t>
        </is>
      </c>
      <c r="F111" s="23">
        <f>A111&amp;"|"&amp;B111</f>
        <v/>
      </c>
    </row>
    <row r="112">
      <c r="A112" s="28" t="n">
        <v>3862</v>
      </c>
      <c r="B112" s="29" t="inlineStr">
        <is>
          <t>1º Secretário</t>
        </is>
      </c>
      <c r="C112" s="31" t="inlineStr">
        <is>
          <t>sem contato</t>
        </is>
      </c>
      <c r="D112" s="29" t="inlineStr">
        <is>
          <t>IVANI BATISTA DE FREITAS MONTEIRO</t>
        </is>
      </c>
      <c r="E112" s="29" t="inlineStr">
        <is>
          <t>SIM</t>
        </is>
      </c>
      <c r="F112" s="23">
        <f>A112&amp;"|"&amp;B112</f>
        <v/>
      </c>
    </row>
  </sheetData>
  <autoFilter ref="A1:F112"/>
  <conditionalFormatting sqref="A2:E112">
    <cfRule type="expression" priority="1" dxfId="17">
      <formula>$E2="SIM"</formula>
    </cfRule>
    <cfRule type="expression" priority="2" dxfId="4">
      <formula>$E2="NAO"</formula>
    </cfRule>
    <cfRule type="expression" priority="3" dxfId="3">
      <formula>$E2="0006/2026"</formula>
    </cfRule>
    <cfRule type="expression" priority="4" dxfId="14">
      <formula>$E2="-"</formula>
    </cfRule>
  </conditionalFormatting>
  <dataValidations count="1">
    <dataValidation sqref="E2:E112" showDropDown="0" showInputMessage="0" showErrorMessage="0" allowBlank="1" promptTitle="Presença" prompt="SIM = presente · NAO = ausente · 0006/2026 · &quot;-&quot; = sem registro" type="list">
      <formula1>"SIM,NAO,0006/2026,-"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7" r:id="rId62"/>
    <hyperlink xmlns:r="http://schemas.openxmlformats.org/officeDocument/2006/relationships" ref="C68" r:id="rId63"/>
    <hyperlink xmlns:r="http://schemas.openxmlformats.org/officeDocument/2006/relationships" ref="C69" r:id="rId64"/>
    <hyperlink xmlns:r="http://schemas.openxmlformats.org/officeDocument/2006/relationships" ref="C70" r:id="rId65"/>
    <hyperlink xmlns:r="http://schemas.openxmlformats.org/officeDocument/2006/relationships" ref="C71" r:id="rId66"/>
    <hyperlink xmlns:r="http://schemas.openxmlformats.org/officeDocument/2006/relationships" ref="C72" r:id="rId67"/>
    <hyperlink xmlns:r="http://schemas.openxmlformats.org/officeDocument/2006/relationships" ref="C73" r:id="rId68"/>
    <hyperlink xmlns:r="http://schemas.openxmlformats.org/officeDocument/2006/relationships" ref="C74" r:id="rId69"/>
    <hyperlink xmlns:r="http://schemas.openxmlformats.org/officeDocument/2006/relationships" ref="C75" r:id="rId70"/>
    <hyperlink xmlns:r="http://schemas.openxmlformats.org/officeDocument/2006/relationships" ref="C76" r:id="rId71"/>
    <hyperlink xmlns:r="http://schemas.openxmlformats.org/officeDocument/2006/relationships" ref="C77" r:id="rId72"/>
    <hyperlink xmlns:r="http://schemas.openxmlformats.org/officeDocument/2006/relationships" ref="C78" r:id="rId73"/>
    <hyperlink xmlns:r="http://schemas.openxmlformats.org/officeDocument/2006/relationships" ref="C79" r:id="rId74"/>
    <hyperlink xmlns:r="http://schemas.openxmlformats.org/officeDocument/2006/relationships" ref="C80" r:id="rId75"/>
    <hyperlink xmlns:r="http://schemas.openxmlformats.org/officeDocument/2006/relationships" ref="C82" r:id="rId76"/>
    <hyperlink xmlns:r="http://schemas.openxmlformats.org/officeDocument/2006/relationships" ref="C84" r:id="rId77"/>
    <hyperlink xmlns:r="http://schemas.openxmlformats.org/officeDocument/2006/relationships" ref="C85" r:id="rId78"/>
    <hyperlink xmlns:r="http://schemas.openxmlformats.org/officeDocument/2006/relationships" ref="C86" r:id="rId79"/>
    <hyperlink xmlns:r="http://schemas.openxmlformats.org/officeDocument/2006/relationships" ref="C87" r:id="rId80"/>
    <hyperlink xmlns:r="http://schemas.openxmlformats.org/officeDocument/2006/relationships" ref="C88" r:id="rId81"/>
    <hyperlink xmlns:r="http://schemas.openxmlformats.org/officeDocument/2006/relationships" ref="C89" r:id="rId82"/>
    <hyperlink xmlns:r="http://schemas.openxmlformats.org/officeDocument/2006/relationships" ref="C90" r:id="rId83"/>
    <hyperlink xmlns:r="http://schemas.openxmlformats.org/officeDocument/2006/relationships" ref="C91" r:id="rId84"/>
    <hyperlink xmlns:r="http://schemas.openxmlformats.org/officeDocument/2006/relationships" ref="C92" r:id="rId85"/>
    <hyperlink xmlns:r="http://schemas.openxmlformats.org/officeDocument/2006/relationships" ref="C93" r:id="rId86"/>
    <hyperlink xmlns:r="http://schemas.openxmlformats.org/officeDocument/2006/relationships" ref="C94" r:id="rId87"/>
    <hyperlink xmlns:r="http://schemas.openxmlformats.org/officeDocument/2006/relationships" ref="C95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5" r:id="rId96"/>
    <hyperlink xmlns:r="http://schemas.openxmlformats.org/officeDocument/2006/relationships" ref="C107" r:id="rId97"/>
    <hyperlink xmlns:r="http://schemas.openxmlformats.org/officeDocument/2006/relationships" ref="C108" r:id="rId98"/>
    <hyperlink xmlns:r="http://schemas.openxmlformats.org/officeDocument/2006/relationships" ref="C109" r:id="rId99"/>
    <hyperlink xmlns:r="http://schemas.openxmlformats.org/officeDocument/2006/relationships" ref="C110" r:id="rId100"/>
    <hyperlink xmlns:r="http://schemas.openxmlformats.org/officeDocument/2006/relationships" ref="C111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34" customWidth="1" min="4" max="4"/>
    <col width="11" customWidth="1" min="5" max="5"/>
    <col width="34" customWidth="1" min="6" max="6"/>
    <col width="11" customWidth="1" min="7" max="7"/>
    <col width="34" customWidth="1" min="8" max="8"/>
    <col width="11" customWidth="1" min="9" max="9"/>
    <col width="10" customWidth="1" min="10" max="11"/>
    <col width="9" customWidth="1" min="12" max="12"/>
    <col width="26" customWidth="1" min="13" max="13"/>
    <col width="11" customWidth="1" min="14" max="14"/>
    <col width="9" customWidth="1" min="15" max="15"/>
  </cols>
  <sheetData>
    <row r="1" ht="30" customHeight="1">
      <c r="A1" s="24" t="inlineStr">
        <is>
          <t>Seção</t>
        </is>
      </c>
      <c r="B1" s="24" t="inlineStr">
        <is>
          <t>Presidente</t>
        </is>
      </c>
      <c r="C1" s="24" t="inlineStr">
        <is>
          <t>Pres.</t>
        </is>
      </c>
      <c r="D1" s="24" t="inlineStr">
        <is>
          <t>1º Mesário</t>
        </is>
      </c>
      <c r="E1" s="24" t="inlineStr">
        <is>
          <t>Pres.</t>
        </is>
      </c>
      <c r="F1" s="24" t="inlineStr">
        <is>
          <t>2º Mesário</t>
        </is>
      </c>
      <c r="G1" s="24" t="inlineStr">
        <is>
          <t>Pres.</t>
        </is>
      </c>
      <c r="H1" s="24" t="inlineStr">
        <is>
          <t>1º Secretário</t>
        </is>
      </c>
      <c r="I1" s="24" t="inlineStr">
        <is>
          <t>Pres.</t>
        </is>
      </c>
      <c r="J1" s="24" t="inlineStr">
        <is>
          <t>Presentes</t>
        </is>
      </c>
      <c r="K1" s="24" t="inlineStr">
        <is>
          <t>Ausentes</t>
        </is>
      </c>
      <c r="L1" s="24" t="inlineStr">
        <is>
          <t>Outros</t>
        </is>
      </c>
      <c r="M1" s="24" t="inlineStr">
        <is>
          <t>Alerta</t>
        </is>
      </c>
      <c r="N1" s="24" t="inlineStr">
        <is>
          <t>Eleitores esperados</t>
        </is>
      </c>
      <c r="O1" s="24" t="inlineStr">
        <is>
          <t>Faixa</t>
        </is>
      </c>
    </row>
    <row r="2">
      <c r="A2" s="25">
        <f>'Por secao'!A2</f>
        <v/>
      </c>
      <c r="B2" s="25">
        <f>IFERROR(INDEX(Mesarios!$D$2:$D$112,MATCH($A2&amp;"|"&amp;B$1,Mesarios!$F$2:$F$112,0)),"VAGO")</f>
        <v/>
      </c>
      <c r="C2" s="26">
        <f>IFERROR(INDEX(Mesarios!$E$2:$E$112,MATCH($A2&amp;"|"&amp;B$1,Mesarios!$F$2:$F$112,0)),"VAGO")</f>
        <v/>
      </c>
      <c r="D2" s="25">
        <f>IFERROR(INDEX(Mesarios!$D$2:$D$112,MATCH($A2&amp;"|"&amp;D$1,Mesarios!$F$2:$F$112,0)),"VAGO")</f>
        <v/>
      </c>
      <c r="E2" s="26">
        <f>IFERROR(INDEX(Mesarios!$E$2:$E$112,MATCH($A2&amp;"|"&amp;D$1,Mesarios!$F$2:$F$112,0)),"VAGO")</f>
        <v/>
      </c>
      <c r="F2" s="25">
        <f>IFERROR(INDEX(Mesarios!$D$2:$D$112,MATCH($A2&amp;"|"&amp;F$1,Mesarios!$F$2:$F$112,0)),"VAGO")</f>
        <v/>
      </c>
      <c r="G2" s="26">
        <f>IFERROR(INDEX(Mesarios!$E$2:$E$112,MATCH($A2&amp;"|"&amp;F$1,Mesarios!$F$2:$F$112,0)),"VAGO")</f>
        <v/>
      </c>
      <c r="H2" s="25">
        <f>IFERROR(INDEX(Mesarios!$D$2:$D$112,MATCH($A2&amp;"|"&amp;H$1,Mesarios!$F$2:$F$112,0)),"VAGO")</f>
        <v/>
      </c>
      <c r="I2" s="26">
        <f>IFERROR(INDEX(Mesarios!$E$2:$E$112,MATCH($A2&amp;"|"&amp;H$1,Mesarios!$F$2:$F$112,0)),"VAGO")</f>
        <v/>
      </c>
      <c r="J2" s="26">
        <f>COUNTIF(C2:I2,"SIM")</f>
        <v/>
      </c>
      <c r="K2" s="26">
        <f>COUNTIF(C2:I2,"NAO")</f>
        <v/>
      </c>
      <c r="L2" s="26">
        <f>COUNTIF(C2:I2,"0006/2026")+COUNTIF(C2:I2,"-")</f>
        <v/>
      </c>
      <c r="M2" s="25">
        <f>IF(J2&gt;=4,"Mesa completa",IF(J2=3,"Falta 1","ATENÇÃO: só "&amp;J2&amp;" presentes"))</f>
        <v/>
      </c>
      <c r="N2" s="25">
        <f>'Por secao'!N2</f>
        <v/>
      </c>
      <c r="O2" s="26">
        <f>'Por secao'!O2</f>
        <v/>
      </c>
    </row>
    <row r="3">
      <c r="A3" s="25">
        <f>'Por secao'!A3</f>
        <v/>
      </c>
      <c r="B3" s="25">
        <f>IFERROR(INDEX(Mesarios!$D$2:$D$112,MATCH($A3&amp;"|"&amp;B$1,Mesarios!$F$2:$F$112,0)),"VAGO")</f>
        <v/>
      </c>
      <c r="C3" s="26">
        <f>IFERROR(INDEX(Mesarios!$E$2:$E$112,MATCH($A3&amp;"|"&amp;B$1,Mesarios!$F$2:$F$112,0)),"VAGO")</f>
        <v/>
      </c>
      <c r="D3" s="25">
        <f>IFERROR(INDEX(Mesarios!$D$2:$D$112,MATCH($A3&amp;"|"&amp;D$1,Mesarios!$F$2:$F$112,0)),"VAGO")</f>
        <v/>
      </c>
      <c r="E3" s="26">
        <f>IFERROR(INDEX(Mesarios!$E$2:$E$112,MATCH($A3&amp;"|"&amp;D$1,Mesarios!$F$2:$F$112,0)),"VAGO")</f>
        <v/>
      </c>
      <c r="F3" s="25">
        <f>IFERROR(INDEX(Mesarios!$D$2:$D$112,MATCH($A3&amp;"|"&amp;F$1,Mesarios!$F$2:$F$112,0)),"VAGO")</f>
        <v/>
      </c>
      <c r="G3" s="26">
        <f>IFERROR(INDEX(Mesarios!$E$2:$E$112,MATCH($A3&amp;"|"&amp;F$1,Mesarios!$F$2:$F$112,0)),"VAGO")</f>
        <v/>
      </c>
      <c r="H3" s="25">
        <f>IFERROR(INDEX(Mesarios!$D$2:$D$112,MATCH($A3&amp;"|"&amp;H$1,Mesarios!$F$2:$F$112,0)),"VAGO")</f>
        <v/>
      </c>
      <c r="I3" s="26">
        <f>IFERROR(INDEX(Mesarios!$E$2:$E$112,MATCH($A3&amp;"|"&amp;H$1,Mesarios!$F$2:$F$112,0)),"VAGO")</f>
        <v/>
      </c>
      <c r="J3" s="26">
        <f>COUNTIF(C3:I3,"SIM")</f>
        <v/>
      </c>
      <c r="K3" s="26">
        <f>COUNTIF(C3:I3,"NAO")</f>
        <v/>
      </c>
      <c r="L3" s="26">
        <f>COUNTIF(C3:I3,"0006/2026")+COUNTIF(C3:I3,"-")</f>
        <v/>
      </c>
      <c r="M3" s="25">
        <f>IF(J3&gt;=4,"Mesa completa",IF(J3=3,"Falta 1","ATENÇÃO: só "&amp;J3&amp;" presentes"))</f>
        <v/>
      </c>
      <c r="N3" s="25">
        <f>'Por secao'!N3</f>
        <v/>
      </c>
      <c r="O3" s="26">
        <f>'Por secao'!O3</f>
        <v/>
      </c>
    </row>
    <row r="4">
      <c r="A4" s="25">
        <f>'Por secao'!A4</f>
        <v/>
      </c>
      <c r="B4" s="25">
        <f>IFERROR(INDEX(Mesarios!$D$2:$D$112,MATCH($A4&amp;"|"&amp;B$1,Mesarios!$F$2:$F$112,0)),"VAGO")</f>
        <v/>
      </c>
      <c r="C4" s="26">
        <f>IFERROR(INDEX(Mesarios!$E$2:$E$112,MATCH($A4&amp;"|"&amp;B$1,Mesarios!$F$2:$F$112,0)),"VAGO")</f>
        <v/>
      </c>
      <c r="D4" s="25">
        <f>IFERROR(INDEX(Mesarios!$D$2:$D$112,MATCH($A4&amp;"|"&amp;D$1,Mesarios!$F$2:$F$112,0)),"VAGO")</f>
        <v/>
      </c>
      <c r="E4" s="26">
        <f>IFERROR(INDEX(Mesarios!$E$2:$E$112,MATCH($A4&amp;"|"&amp;D$1,Mesarios!$F$2:$F$112,0)),"VAGO")</f>
        <v/>
      </c>
      <c r="F4" s="25">
        <f>IFERROR(INDEX(Mesarios!$D$2:$D$112,MATCH($A4&amp;"|"&amp;F$1,Mesarios!$F$2:$F$112,0)),"VAGO")</f>
        <v/>
      </c>
      <c r="G4" s="26">
        <f>IFERROR(INDEX(Mesarios!$E$2:$E$112,MATCH($A4&amp;"|"&amp;F$1,Mesarios!$F$2:$F$112,0)),"VAGO")</f>
        <v/>
      </c>
      <c r="H4" s="25">
        <f>IFERROR(INDEX(Mesarios!$D$2:$D$112,MATCH($A4&amp;"|"&amp;H$1,Mesarios!$F$2:$F$112,0)),"VAGO")</f>
        <v/>
      </c>
      <c r="I4" s="26">
        <f>IFERROR(INDEX(Mesarios!$E$2:$E$112,MATCH($A4&amp;"|"&amp;H$1,Mesarios!$F$2:$F$112,0)),"VAGO")</f>
        <v/>
      </c>
      <c r="J4" s="26">
        <f>COUNTIF(C4:I4,"SIM")</f>
        <v/>
      </c>
      <c r="K4" s="26">
        <f>COUNTIF(C4:I4,"NAO")</f>
        <v/>
      </c>
      <c r="L4" s="26">
        <f>COUNTIF(C4:I4,"0006/2026")+COUNTIF(C4:I4,"-")</f>
        <v/>
      </c>
      <c r="M4" s="25">
        <f>IF(J4&gt;=4,"Mesa completa",IF(J4=3,"Falta 1","ATENÇÃO: só "&amp;J4&amp;" presentes"))</f>
        <v/>
      </c>
      <c r="N4" s="25">
        <f>'Por secao'!N4</f>
        <v/>
      </c>
      <c r="O4" s="26">
        <f>'Por secao'!O4</f>
        <v/>
      </c>
    </row>
    <row r="5">
      <c r="A5" s="25">
        <f>'Por secao'!A5</f>
        <v/>
      </c>
      <c r="B5" s="25">
        <f>IFERROR(INDEX(Mesarios!$D$2:$D$112,MATCH($A5&amp;"|"&amp;B$1,Mesarios!$F$2:$F$112,0)),"VAGO")</f>
        <v/>
      </c>
      <c r="C5" s="26">
        <f>IFERROR(INDEX(Mesarios!$E$2:$E$112,MATCH($A5&amp;"|"&amp;B$1,Mesarios!$F$2:$F$112,0)),"VAGO")</f>
        <v/>
      </c>
      <c r="D5" s="25">
        <f>IFERROR(INDEX(Mesarios!$D$2:$D$112,MATCH($A5&amp;"|"&amp;D$1,Mesarios!$F$2:$F$112,0)),"VAGO")</f>
        <v/>
      </c>
      <c r="E5" s="26">
        <f>IFERROR(INDEX(Mesarios!$E$2:$E$112,MATCH($A5&amp;"|"&amp;D$1,Mesarios!$F$2:$F$112,0)),"VAGO")</f>
        <v/>
      </c>
      <c r="F5" s="25">
        <f>IFERROR(INDEX(Mesarios!$D$2:$D$112,MATCH($A5&amp;"|"&amp;F$1,Mesarios!$F$2:$F$112,0)),"VAGO")</f>
        <v/>
      </c>
      <c r="G5" s="26">
        <f>IFERROR(INDEX(Mesarios!$E$2:$E$112,MATCH($A5&amp;"|"&amp;F$1,Mesarios!$F$2:$F$112,0)),"VAGO")</f>
        <v/>
      </c>
      <c r="H5" s="25">
        <f>IFERROR(INDEX(Mesarios!$D$2:$D$112,MATCH($A5&amp;"|"&amp;H$1,Mesarios!$F$2:$F$112,0)),"VAGO")</f>
        <v/>
      </c>
      <c r="I5" s="26">
        <f>IFERROR(INDEX(Mesarios!$E$2:$E$112,MATCH($A5&amp;"|"&amp;H$1,Mesarios!$F$2:$F$112,0)),"VAGO")</f>
        <v/>
      </c>
      <c r="J5" s="26">
        <f>COUNTIF(C5:I5,"SIM")</f>
        <v/>
      </c>
      <c r="K5" s="26">
        <f>COUNTIF(C5:I5,"NAO")</f>
        <v/>
      </c>
      <c r="L5" s="26">
        <f>COUNTIF(C5:I5,"0006/2026")+COUNTIF(C5:I5,"-")</f>
        <v/>
      </c>
      <c r="M5" s="25">
        <f>IF(J5&gt;=4,"Mesa completa",IF(J5=3,"Falta 1","ATENÇÃO: só "&amp;J5&amp;" presentes"))</f>
        <v/>
      </c>
      <c r="N5" s="25">
        <f>'Por secao'!N5</f>
        <v/>
      </c>
      <c r="O5" s="26">
        <f>'Por secao'!O5</f>
        <v/>
      </c>
    </row>
    <row r="6">
      <c r="A6" s="25">
        <f>'Por secao'!A6</f>
        <v/>
      </c>
      <c r="B6" s="25">
        <f>IFERROR(INDEX(Mesarios!$D$2:$D$112,MATCH($A6&amp;"|"&amp;B$1,Mesarios!$F$2:$F$112,0)),"VAGO")</f>
        <v/>
      </c>
      <c r="C6" s="26">
        <f>IFERROR(INDEX(Mesarios!$E$2:$E$112,MATCH($A6&amp;"|"&amp;B$1,Mesarios!$F$2:$F$112,0)),"VAGO")</f>
        <v/>
      </c>
      <c r="D6" s="25">
        <f>IFERROR(INDEX(Mesarios!$D$2:$D$112,MATCH($A6&amp;"|"&amp;D$1,Mesarios!$F$2:$F$112,0)),"VAGO")</f>
        <v/>
      </c>
      <c r="E6" s="26">
        <f>IFERROR(INDEX(Mesarios!$E$2:$E$112,MATCH($A6&amp;"|"&amp;D$1,Mesarios!$F$2:$F$112,0)),"VAGO")</f>
        <v/>
      </c>
      <c r="F6" s="25">
        <f>IFERROR(INDEX(Mesarios!$D$2:$D$112,MATCH($A6&amp;"|"&amp;F$1,Mesarios!$F$2:$F$112,0)),"VAGO")</f>
        <v/>
      </c>
      <c r="G6" s="26">
        <f>IFERROR(INDEX(Mesarios!$E$2:$E$112,MATCH($A6&amp;"|"&amp;F$1,Mesarios!$F$2:$F$112,0)),"VAGO")</f>
        <v/>
      </c>
      <c r="H6" s="25">
        <f>IFERROR(INDEX(Mesarios!$D$2:$D$112,MATCH($A6&amp;"|"&amp;H$1,Mesarios!$F$2:$F$112,0)),"VAGO")</f>
        <v/>
      </c>
      <c r="I6" s="26">
        <f>IFERROR(INDEX(Mesarios!$E$2:$E$112,MATCH($A6&amp;"|"&amp;H$1,Mesarios!$F$2:$F$112,0)),"VAGO")</f>
        <v/>
      </c>
      <c r="J6" s="26">
        <f>COUNTIF(C6:I6,"SIM")</f>
        <v/>
      </c>
      <c r="K6" s="26">
        <f>COUNTIF(C6:I6,"NAO")</f>
        <v/>
      </c>
      <c r="L6" s="26">
        <f>COUNTIF(C6:I6,"0006/2026")+COUNTIF(C6:I6,"-")</f>
        <v/>
      </c>
      <c r="M6" s="25">
        <f>IF(J6&gt;=4,"Mesa completa",IF(J6=3,"Falta 1","ATENÇÃO: só "&amp;J6&amp;" presentes"))</f>
        <v/>
      </c>
      <c r="N6" s="25">
        <f>'Por secao'!N6</f>
        <v/>
      </c>
      <c r="O6" s="26">
        <f>'Por secao'!O6</f>
        <v/>
      </c>
    </row>
    <row r="7">
      <c r="A7" s="25">
        <f>'Por secao'!A7</f>
        <v/>
      </c>
      <c r="B7" s="25">
        <f>IFERROR(INDEX(Mesarios!$D$2:$D$112,MATCH($A7&amp;"|"&amp;B$1,Mesarios!$F$2:$F$112,0)),"VAGO")</f>
        <v/>
      </c>
      <c r="C7" s="26">
        <f>IFERROR(INDEX(Mesarios!$E$2:$E$112,MATCH($A7&amp;"|"&amp;B$1,Mesarios!$F$2:$F$112,0)),"VAGO")</f>
        <v/>
      </c>
      <c r="D7" s="25">
        <f>IFERROR(INDEX(Mesarios!$D$2:$D$112,MATCH($A7&amp;"|"&amp;D$1,Mesarios!$F$2:$F$112,0)),"VAGO")</f>
        <v/>
      </c>
      <c r="E7" s="26">
        <f>IFERROR(INDEX(Mesarios!$E$2:$E$112,MATCH($A7&amp;"|"&amp;D$1,Mesarios!$F$2:$F$112,0)),"VAGO")</f>
        <v/>
      </c>
      <c r="F7" s="25">
        <f>IFERROR(INDEX(Mesarios!$D$2:$D$112,MATCH($A7&amp;"|"&amp;F$1,Mesarios!$F$2:$F$112,0)),"VAGO")</f>
        <v/>
      </c>
      <c r="G7" s="26">
        <f>IFERROR(INDEX(Mesarios!$E$2:$E$112,MATCH($A7&amp;"|"&amp;F$1,Mesarios!$F$2:$F$112,0)),"VAGO")</f>
        <v/>
      </c>
      <c r="H7" s="25">
        <f>IFERROR(INDEX(Mesarios!$D$2:$D$112,MATCH($A7&amp;"|"&amp;H$1,Mesarios!$F$2:$F$112,0)),"VAGO")</f>
        <v/>
      </c>
      <c r="I7" s="26">
        <f>IFERROR(INDEX(Mesarios!$E$2:$E$112,MATCH($A7&amp;"|"&amp;H$1,Mesarios!$F$2:$F$112,0)),"VAGO")</f>
        <v/>
      </c>
      <c r="J7" s="26">
        <f>COUNTIF(C7:I7,"SIM")</f>
        <v/>
      </c>
      <c r="K7" s="26">
        <f>COUNTIF(C7:I7,"NAO")</f>
        <v/>
      </c>
      <c r="L7" s="26">
        <f>COUNTIF(C7:I7,"0006/2026")+COUNTIF(C7:I7,"-")</f>
        <v/>
      </c>
      <c r="M7" s="25">
        <f>IF(J7&gt;=4,"Mesa completa",IF(J7=3,"Falta 1","ATENÇÃO: só "&amp;J7&amp;" presentes"))</f>
        <v/>
      </c>
      <c r="N7" s="25">
        <f>'Por secao'!N7</f>
        <v/>
      </c>
      <c r="O7" s="26">
        <f>'Por secao'!O7</f>
        <v/>
      </c>
    </row>
    <row r="8">
      <c r="A8" s="25">
        <f>'Por secao'!A8</f>
        <v/>
      </c>
      <c r="B8" s="25">
        <f>IFERROR(INDEX(Mesarios!$D$2:$D$112,MATCH($A8&amp;"|"&amp;B$1,Mesarios!$F$2:$F$112,0)),"VAGO")</f>
        <v/>
      </c>
      <c r="C8" s="26">
        <f>IFERROR(INDEX(Mesarios!$E$2:$E$112,MATCH($A8&amp;"|"&amp;B$1,Mesarios!$F$2:$F$112,0)),"VAGO")</f>
        <v/>
      </c>
      <c r="D8" s="25">
        <f>IFERROR(INDEX(Mesarios!$D$2:$D$112,MATCH($A8&amp;"|"&amp;D$1,Mesarios!$F$2:$F$112,0)),"VAGO")</f>
        <v/>
      </c>
      <c r="E8" s="26">
        <f>IFERROR(INDEX(Mesarios!$E$2:$E$112,MATCH($A8&amp;"|"&amp;D$1,Mesarios!$F$2:$F$112,0)),"VAGO")</f>
        <v/>
      </c>
      <c r="F8" s="25">
        <f>IFERROR(INDEX(Mesarios!$D$2:$D$112,MATCH($A8&amp;"|"&amp;F$1,Mesarios!$F$2:$F$112,0)),"VAGO")</f>
        <v/>
      </c>
      <c r="G8" s="26">
        <f>IFERROR(INDEX(Mesarios!$E$2:$E$112,MATCH($A8&amp;"|"&amp;F$1,Mesarios!$F$2:$F$112,0)),"VAGO")</f>
        <v/>
      </c>
      <c r="H8" s="25">
        <f>IFERROR(INDEX(Mesarios!$D$2:$D$112,MATCH($A8&amp;"|"&amp;H$1,Mesarios!$F$2:$F$112,0)),"VAGO")</f>
        <v/>
      </c>
      <c r="I8" s="26">
        <f>IFERROR(INDEX(Mesarios!$E$2:$E$112,MATCH($A8&amp;"|"&amp;H$1,Mesarios!$F$2:$F$112,0)),"VAGO")</f>
        <v/>
      </c>
      <c r="J8" s="26">
        <f>COUNTIF(C8:I8,"SIM")</f>
        <v/>
      </c>
      <c r="K8" s="26">
        <f>COUNTIF(C8:I8,"NAO")</f>
        <v/>
      </c>
      <c r="L8" s="26">
        <f>COUNTIF(C8:I8,"0006/2026")+COUNTIF(C8:I8,"-")</f>
        <v/>
      </c>
      <c r="M8" s="25">
        <f>IF(J8&gt;=4,"Mesa completa",IF(J8=3,"Falta 1","ATENÇÃO: só "&amp;J8&amp;" presentes"))</f>
        <v/>
      </c>
      <c r="N8" s="25">
        <f>'Por secao'!N8</f>
        <v/>
      </c>
      <c r="O8" s="26">
        <f>'Por secao'!O8</f>
        <v/>
      </c>
    </row>
    <row r="9">
      <c r="A9" s="25">
        <f>'Por secao'!A9</f>
        <v/>
      </c>
      <c r="B9" s="25">
        <f>IFERROR(INDEX(Mesarios!$D$2:$D$112,MATCH($A9&amp;"|"&amp;B$1,Mesarios!$F$2:$F$112,0)),"VAGO")</f>
        <v/>
      </c>
      <c r="C9" s="26">
        <f>IFERROR(INDEX(Mesarios!$E$2:$E$112,MATCH($A9&amp;"|"&amp;B$1,Mesarios!$F$2:$F$112,0)),"VAGO")</f>
        <v/>
      </c>
      <c r="D9" s="25">
        <f>IFERROR(INDEX(Mesarios!$D$2:$D$112,MATCH($A9&amp;"|"&amp;D$1,Mesarios!$F$2:$F$112,0)),"VAGO")</f>
        <v/>
      </c>
      <c r="E9" s="26">
        <f>IFERROR(INDEX(Mesarios!$E$2:$E$112,MATCH($A9&amp;"|"&amp;D$1,Mesarios!$F$2:$F$112,0)),"VAGO")</f>
        <v/>
      </c>
      <c r="F9" s="25">
        <f>IFERROR(INDEX(Mesarios!$D$2:$D$112,MATCH($A9&amp;"|"&amp;F$1,Mesarios!$F$2:$F$112,0)),"VAGO")</f>
        <v/>
      </c>
      <c r="G9" s="26">
        <f>IFERROR(INDEX(Mesarios!$E$2:$E$112,MATCH($A9&amp;"|"&amp;F$1,Mesarios!$F$2:$F$112,0)),"VAGO")</f>
        <v/>
      </c>
      <c r="H9" s="25">
        <f>IFERROR(INDEX(Mesarios!$D$2:$D$112,MATCH($A9&amp;"|"&amp;H$1,Mesarios!$F$2:$F$112,0)),"VAGO")</f>
        <v/>
      </c>
      <c r="I9" s="26">
        <f>IFERROR(INDEX(Mesarios!$E$2:$E$112,MATCH($A9&amp;"|"&amp;H$1,Mesarios!$F$2:$F$112,0)),"VAGO")</f>
        <v/>
      </c>
      <c r="J9" s="26">
        <f>COUNTIF(C9:I9,"SIM")</f>
        <v/>
      </c>
      <c r="K9" s="26">
        <f>COUNTIF(C9:I9,"NAO")</f>
        <v/>
      </c>
      <c r="L9" s="26">
        <f>COUNTIF(C9:I9,"0006/2026")+COUNTIF(C9:I9,"-")</f>
        <v/>
      </c>
      <c r="M9" s="25">
        <f>IF(J9&gt;=4,"Mesa completa",IF(J9=3,"Falta 1","ATENÇÃO: só "&amp;J9&amp;" presentes"))</f>
        <v/>
      </c>
      <c r="N9" s="25">
        <f>'Por secao'!N9</f>
        <v/>
      </c>
      <c r="O9" s="26">
        <f>'Por secao'!O9</f>
        <v/>
      </c>
    </row>
    <row r="10">
      <c r="A10" s="25">
        <f>'Por secao'!A10</f>
        <v/>
      </c>
      <c r="B10" s="25">
        <f>IFERROR(INDEX(Mesarios!$D$2:$D$112,MATCH($A10&amp;"|"&amp;B$1,Mesarios!$F$2:$F$112,0)),"VAGO")</f>
        <v/>
      </c>
      <c r="C10" s="26">
        <f>IFERROR(INDEX(Mesarios!$E$2:$E$112,MATCH($A10&amp;"|"&amp;B$1,Mesarios!$F$2:$F$112,0)),"VAGO")</f>
        <v/>
      </c>
      <c r="D10" s="25">
        <f>IFERROR(INDEX(Mesarios!$D$2:$D$112,MATCH($A10&amp;"|"&amp;D$1,Mesarios!$F$2:$F$112,0)),"VAGO")</f>
        <v/>
      </c>
      <c r="E10" s="26">
        <f>IFERROR(INDEX(Mesarios!$E$2:$E$112,MATCH($A10&amp;"|"&amp;D$1,Mesarios!$F$2:$F$112,0)),"VAGO")</f>
        <v/>
      </c>
      <c r="F10" s="25">
        <f>IFERROR(INDEX(Mesarios!$D$2:$D$112,MATCH($A10&amp;"|"&amp;F$1,Mesarios!$F$2:$F$112,0)),"VAGO")</f>
        <v/>
      </c>
      <c r="G10" s="26">
        <f>IFERROR(INDEX(Mesarios!$E$2:$E$112,MATCH($A10&amp;"|"&amp;F$1,Mesarios!$F$2:$F$112,0)),"VAGO")</f>
        <v/>
      </c>
      <c r="H10" s="25">
        <f>IFERROR(INDEX(Mesarios!$D$2:$D$112,MATCH($A10&amp;"|"&amp;H$1,Mesarios!$F$2:$F$112,0)),"VAGO")</f>
        <v/>
      </c>
      <c r="I10" s="26">
        <f>IFERROR(INDEX(Mesarios!$E$2:$E$112,MATCH($A10&amp;"|"&amp;H$1,Mesarios!$F$2:$F$112,0)),"VAGO")</f>
        <v/>
      </c>
      <c r="J10" s="26">
        <f>COUNTIF(C10:I10,"SIM")</f>
        <v/>
      </c>
      <c r="K10" s="26">
        <f>COUNTIF(C10:I10,"NAO")</f>
        <v/>
      </c>
      <c r="L10" s="26">
        <f>COUNTIF(C10:I10,"0006/2026")+COUNTIF(C10:I10,"-")</f>
        <v/>
      </c>
      <c r="M10" s="25">
        <f>IF(J10&gt;=4,"Mesa completa",IF(J10=3,"Falta 1","ATENÇÃO: só "&amp;J10&amp;" presentes"))</f>
        <v/>
      </c>
      <c r="N10" s="25">
        <f>'Por secao'!N10</f>
        <v/>
      </c>
      <c r="O10" s="26">
        <f>'Por secao'!O10</f>
        <v/>
      </c>
    </row>
    <row r="11">
      <c r="A11" s="25">
        <f>'Por secao'!A11</f>
        <v/>
      </c>
      <c r="B11" s="25">
        <f>IFERROR(INDEX(Mesarios!$D$2:$D$112,MATCH($A11&amp;"|"&amp;B$1,Mesarios!$F$2:$F$112,0)),"VAGO")</f>
        <v/>
      </c>
      <c r="C11" s="26">
        <f>IFERROR(INDEX(Mesarios!$E$2:$E$112,MATCH($A11&amp;"|"&amp;B$1,Mesarios!$F$2:$F$112,0)),"VAGO")</f>
        <v/>
      </c>
      <c r="D11" s="25">
        <f>IFERROR(INDEX(Mesarios!$D$2:$D$112,MATCH($A11&amp;"|"&amp;D$1,Mesarios!$F$2:$F$112,0)),"VAGO")</f>
        <v/>
      </c>
      <c r="E11" s="26">
        <f>IFERROR(INDEX(Mesarios!$E$2:$E$112,MATCH($A11&amp;"|"&amp;D$1,Mesarios!$F$2:$F$112,0)),"VAGO")</f>
        <v/>
      </c>
      <c r="F11" s="25">
        <f>IFERROR(INDEX(Mesarios!$D$2:$D$112,MATCH($A11&amp;"|"&amp;F$1,Mesarios!$F$2:$F$112,0)),"VAGO")</f>
        <v/>
      </c>
      <c r="G11" s="26">
        <f>IFERROR(INDEX(Mesarios!$E$2:$E$112,MATCH($A11&amp;"|"&amp;F$1,Mesarios!$F$2:$F$112,0)),"VAGO")</f>
        <v/>
      </c>
      <c r="H11" s="25">
        <f>IFERROR(INDEX(Mesarios!$D$2:$D$112,MATCH($A11&amp;"|"&amp;H$1,Mesarios!$F$2:$F$112,0)),"VAGO")</f>
        <v/>
      </c>
      <c r="I11" s="26">
        <f>IFERROR(INDEX(Mesarios!$E$2:$E$112,MATCH($A11&amp;"|"&amp;H$1,Mesarios!$F$2:$F$112,0)),"VAGO")</f>
        <v/>
      </c>
      <c r="J11" s="26">
        <f>COUNTIF(C11:I11,"SIM")</f>
        <v/>
      </c>
      <c r="K11" s="26">
        <f>COUNTIF(C11:I11,"NAO")</f>
        <v/>
      </c>
      <c r="L11" s="26">
        <f>COUNTIF(C11:I11,"0006/2026")+COUNTIF(C11:I11,"-")</f>
        <v/>
      </c>
      <c r="M11" s="25">
        <f>IF(J11&gt;=4,"Mesa completa",IF(J11=3,"Falta 1","ATENÇÃO: só "&amp;J11&amp;" presentes"))</f>
        <v/>
      </c>
      <c r="N11" s="25">
        <f>'Por secao'!N11</f>
        <v/>
      </c>
      <c r="O11" s="26">
        <f>'Por secao'!O11</f>
        <v/>
      </c>
    </row>
    <row r="12">
      <c r="A12" s="25">
        <f>'Por secao'!A12</f>
        <v/>
      </c>
      <c r="B12" s="25">
        <f>IFERROR(INDEX(Mesarios!$D$2:$D$112,MATCH($A12&amp;"|"&amp;B$1,Mesarios!$F$2:$F$112,0)),"VAGO")</f>
        <v/>
      </c>
      <c r="C12" s="26">
        <f>IFERROR(INDEX(Mesarios!$E$2:$E$112,MATCH($A12&amp;"|"&amp;B$1,Mesarios!$F$2:$F$112,0)),"VAGO")</f>
        <v/>
      </c>
      <c r="D12" s="25">
        <f>IFERROR(INDEX(Mesarios!$D$2:$D$112,MATCH($A12&amp;"|"&amp;D$1,Mesarios!$F$2:$F$112,0)),"VAGO")</f>
        <v/>
      </c>
      <c r="E12" s="26">
        <f>IFERROR(INDEX(Mesarios!$E$2:$E$112,MATCH($A12&amp;"|"&amp;D$1,Mesarios!$F$2:$F$112,0)),"VAGO")</f>
        <v/>
      </c>
      <c r="F12" s="25">
        <f>IFERROR(INDEX(Mesarios!$D$2:$D$112,MATCH($A12&amp;"|"&amp;F$1,Mesarios!$F$2:$F$112,0)),"VAGO")</f>
        <v/>
      </c>
      <c r="G12" s="26">
        <f>IFERROR(INDEX(Mesarios!$E$2:$E$112,MATCH($A12&amp;"|"&amp;F$1,Mesarios!$F$2:$F$112,0)),"VAGO")</f>
        <v/>
      </c>
      <c r="H12" s="25">
        <f>IFERROR(INDEX(Mesarios!$D$2:$D$112,MATCH($A12&amp;"|"&amp;H$1,Mesarios!$F$2:$F$112,0)),"VAGO")</f>
        <v/>
      </c>
      <c r="I12" s="26">
        <f>IFERROR(INDEX(Mesarios!$E$2:$E$112,MATCH($A12&amp;"|"&amp;H$1,Mesarios!$F$2:$F$112,0)),"VAGO")</f>
        <v/>
      </c>
      <c r="J12" s="26">
        <f>COUNTIF(C12:I12,"SIM")</f>
        <v/>
      </c>
      <c r="K12" s="26">
        <f>COUNTIF(C12:I12,"NAO")</f>
        <v/>
      </c>
      <c r="L12" s="26">
        <f>COUNTIF(C12:I12,"0006/2026")+COUNTIF(C12:I12,"-")</f>
        <v/>
      </c>
      <c r="M12" s="25">
        <f>IF(J12&gt;=4,"Mesa completa",IF(J12=3,"Falta 1","ATENÇÃO: só "&amp;J12&amp;" presentes"))</f>
        <v/>
      </c>
      <c r="N12" s="25">
        <f>'Por secao'!N12</f>
        <v/>
      </c>
      <c r="O12" s="26">
        <f>'Por secao'!O12</f>
        <v/>
      </c>
    </row>
    <row r="13">
      <c r="A13" s="25">
        <f>'Por secao'!A13</f>
        <v/>
      </c>
      <c r="B13" s="25">
        <f>IFERROR(INDEX(Mesarios!$D$2:$D$112,MATCH($A13&amp;"|"&amp;B$1,Mesarios!$F$2:$F$112,0)),"VAGO")</f>
        <v/>
      </c>
      <c r="C13" s="26">
        <f>IFERROR(INDEX(Mesarios!$E$2:$E$112,MATCH($A13&amp;"|"&amp;B$1,Mesarios!$F$2:$F$112,0)),"VAGO")</f>
        <v/>
      </c>
      <c r="D13" s="25">
        <f>IFERROR(INDEX(Mesarios!$D$2:$D$112,MATCH($A13&amp;"|"&amp;D$1,Mesarios!$F$2:$F$112,0)),"VAGO")</f>
        <v/>
      </c>
      <c r="E13" s="26">
        <f>IFERROR(INDEX(Mesarios!$E$2:$E$112,MATCH($A13&amp;"|"&amp;D$1,Mesarios!$F$2:$F$112,0)),"VAGO")</f>
        <v/>
      </c>
      <c r="F13" s="25">
        <f>IFERROR(INDEX(Mesarios!$D$2:$D$112,MATCH($A13&amp;"|"&amp;F$1,Mesarios!$F$2:$F$112,0)),"VAGO")</f>
        <v/>
      </c>
      <c r="G13" s="26">
        <f>IFERROR(INDEX(Mesarios!$E$2:$E$112,MATCH($A13&amp;"|"&amp;F$1,Mesarios!$F$2:$F$112,0)),"VAGO")</f>
        <v/>
      </c>
      <c r="H13" s="25">
        <f>IFERROR(INDEX(Mesarios!$D$2:$D$112,MATCH($A13&amp;"|"&amp;H$1,Mesarios!$F$2:$F$112,0)),"VAGO")</f>
        <v/>
      </c>
      <c r="I13" s="26">
        <f>IFERROR(INDEX(Mesarios!$E$2:$E$112,MATCH($A13&amp;"|"&amp;H$1,Mesarios!$F$2:$F$112,0)),"VAGO")</f>
        <v/>
      </c>
      <c r="J13" s="26">
        <f>COUNTIF(C13:I13,"SIM")</f>
        <v/>
      </c>
      <c r="K13" s="26">
        <f>COUNTIF(C13:I13,"NAO")</f>
        <v/>
      </c>
      <c r="L13" s="26">
        <f>COUNTIF(C13:I13,"0006/2026")+COUNTIF(C13:I13,"-")</f>
        <v/>
      </c>
      <c r="M13" s="25">
        <f>IF(J13&gt;=4,"Mesa completa",IF(J13=3,"Falta 1","ATENÇÃO: só "&amp;J13&amp;" presentes"))</f>
        <v/>
      </c>
      <c r="N13" s="25">
        <f>'Por secao'!N13</f>
        <v/>
      </c>
      <c r="O13" s="26">
        <f>'Por secao'!O13</f>
        <v/>
      </c>
    </row>
    <row r="14">
      <c r="A14" s="25">
        <f>'Por secao'!A14</f>
        <v/>
      </c>
      <c r="B14" s="25">
        <f>IFERROR(INDEX(Mesarios!$D$2:$D$112,MATCH($A14&amp;"|"&amp;B$1,Mesarios!$F$2:$F$112,0)),"VAGO")</f>
        <v/>
      </c>
      <c r="C14" s="26">
        <f>IFERROR(INDEX(Mesarios!$E$2:$E$112,MATCH($A14&amp;"|"&amp;B$1,Mesarios!$F$2:$F$112,0)),"VAGO")</f>
        <v/>
      </c>
      <c r="D14" s="25">
        <f>IFERROR(INDEX(Mesarios!$D$2:$D$112,MATCH($A14&amp;"|"&amp;D$1,Mesarios!$F$2:$F$112,0)),"VAGO")</f>
        <v/>
      </c>
      <c r="E14" s="26">
        <f>IFERROR(INDEX(Mesarios!$E$2:$E$112,MATCH($A14&amp;"|"&amp;D$1,Mesarios!$F$2:$F$112,0)),"VAGO")</f>
        <v/>
      </c>
      <c r="F14" s="25">
        <f>IFERROR(INDEX(Mesarios!$D$2:$D$112,MATCH($A14&amp;"|"&amp;F$1,Mesarios!$F$2:$F$112,0)),"VAGO")</f>
        <v/>
      </c>
      <c r="G14" s="26">
        <f>IFERROR(INDEX(Mesarios!$E$2:$E$112,MATCH($A14&amp;"|"&amp;F$1,Mesarios!$F$2:$F$112,0)),"VAGO")</f>
        <v/>
      </c>
      <c r="H14" s="25">
        <f>IFERROR(INDEX(Mesarios!$D$2:$D$112,MATCH($A14&amp;"|"&amp;H$1,Mesarios!$F$2:$F$112,0)),"VAGO")</f>
        <v/>
      </c>
      <c r="I14" s="26">
        <f>IFERROR(INDEX(Mesarios!$E$2:$E$112,MATCH($A14&amp;"|"&amp;H$1,Mesarios!$F$2:$F$112,0)),"VAGO")</f>
        <v/>
      </c>
      <c r="J14" s="26">
        <f>COUNTIF(C14:I14,"SIM")</f>
        <v/>
      </c>
      <c r="K14" s="26">
        <f>COUNTIF(C14:I14,"NAO")</f>
        <v/>
      </c>
      <c r="L14" s="26">
        <f>COUNTIF(C14:I14,"0006/2026")+COUNTIF(C14:I14,"-")</f>
        <v/>
      </c>
      <c r="M14" s="25">
        <f>IF(J14&gt;=4,"Mesa completa",IF(J14=3,"Falta 1","ATENÇÃO: só "&amp;J14&amp;" presentes"))</f>
        <v/>
      </c>
      <c r="N14" s="25">
        <f>'Por secao'!N14</f>
        <v/>
      </c>
      <c r="O14" s="26">
        <f>'Por secao'!O14</f>
        <v/>
      </c>
    </row>
    <row r="15">
      <c r="A15" s="25">
        <f>'Por secao'!A15</f>
        <v/>
      </c>
      <c r="B15" s="25">
        <f>IFERROR(INDEX(Mesarios!$D$2:$D$112,MATCH($A15&amp;"|"&amp;B$1,Mesarios!$F$2:$F$112,0)),"VAGO")</f>
        <v/>
      </c>
      <c r="C15" s="26">
        <f>IFERROR(INDEX(Mesarios!$E$2:$E$112,MATCH($A15&amp;"|"&amp;B$1,Mesarios!$F$2:$F$112,0)),"VAGO")</f>
        <v/>
      </c>
      <c r="D15" s="25">
        <f>IFERROR(INDEX(Mesarios!$D$2:$D$112,MATCH($A15&amp;"|"&amp;D$1,Mesarios!$F$2:$F$112,0)),"VAGO")</f>
        <v/>
      </c>
      <c r="E15" s="26">
        <f>IFERROR(INDEX(Mesarios!$E$2:$E$112,MATCH($A15&amp;"|"&amp;D$1,Mesarios!$F$2:$F$112,0)),"VAGO")</f>
        <v/>
      </c>
      <c r="F15" s="25">
        <f>IFERROR(INDEX(Mesarios!$D$2:$D$112,MATCH($A15&amp;"|"&amp;F$1,Mesarios!$F$2:$F$112,0)),"VAGO")</f>
        <v/>
      </c>
      <c r="G15" s="26">
        <f>IFERROR(INDEX(Mesarios!$E$2:$E$112,MATCH($A15&amp;"|"&amp;F$1,Mesarios!$F$2:$F$112,0)),"VAGO")</f>
        <v/>
      </c>
      <c r="H15" s="25">
        <f>IFERROR(INDEX(Mesarios!$D$2:$D$112,MATCH($A15&amp;"|"&amp;H$1,Mesarios!$F$2:$F$112,0)),"VAGO")</f>
        <v/>
      </c>
      <c r="I15" s="26">
        <f>IFERROR(INDEX(Mesarios!$E$2:$E$112,MATCH($A15&amp;"|"&amp;H$1,Mesarios!$F$2:$F$112,0)),"VAGO")</f>
        <v/>
      </c>
      <c r="J15" s="26">
        <f>COUNTIF(C15:I15,"SIM")</f>
        <v/>
      </c>
      <c r="K15" s="26">
        <f>COUNTIF(C15:I15,"NAO")</f>
        <v/>
      </c>
      <c r="L15" s="26">
        <f>COUNTIF(C15:I15,"0006/2026")+COUNTIF(C15:I15,"-")</f>
        <v/>
      </c>
      <c r="M15" s="25">
        <f>IF(J15&gt;=4,"Mesa completa",IF(J15=3,"Falta 1","ATENÇÃO: só "&amp;J15&amp;" presentes"))</f>
        <v/>
      </c>
      <c r="N15" s="25">
        <f>'Por secao'!N15</f>
        <v/>
      </c>
      <c r="O15" s="26">
        <f>'Por secao'!O15</f>
        <v/>
      </c>
    </row>
    <row r="16">
      <c r="A16" s="25">
        <f>'Por secao'!A16</f>
        <v/>
      </c>
      <c r="B16" s="25">
        <f>IFERROR(INDEX(Mesarios!$D$2:$D$112,MATCH($A16&amp;"|"&amp;B$1,Mesarios!$F$2:$F$112,0)),"VAGO")</f>
        <v/>
      </c>
      <c r="C16" s="26">
        <f>IFERROR(INDEX(Mesarios!$E$2:$E$112,MATCH($A16&amp;"|"&amp;B$1,Mesarios!$F$2:$F$112,0)),"VAGO")</f>
        <v/>
      </c>
      <c r="D16" s="25">
        <f>IFERROR(INDEX(Mesarios!$D$2:$D$112,MATCH($A16&amp;"|"&amp;D$1,Mesarios!$F$2:$F$112,0)),"VAGO")</f>
        <v/>
      </c>
      <c r="E16" s="26">
        <f>IFERROR(INDEX(Mesarios!$E$2:$E$112,MATCH($A16&amp;"|"&amp;D$1,Mesarios!$F$2:$F$112,0)),"VAGO")</f>
        <v/>
      </c>
      <c r="F16" s="25">
        <f>IFERROR(INDEX(Mesarios!$D$2:$D$112,MATCH($A16&amp;"|"&amp;F$1,Mesarios!$F$2:$F$112,0)),"VAGO")</f>
        <v/>
      </c>
      <c r="G16" s="26">
        <f>IFERROR(INDEX(Mesarios!$E$2:$E$112,MATCH($A16&amp;"|"&amp;F$1,Mesarios!$F$2:$F$112,0)),"VAGO")</f>
        <v/>
      </c>
      <c r="H16" s="25">
        <f>IFERROR(INDEX(Mesarios!$D$2:$D$112,MATCH($A16&amp;"|"&amp;H$1,Mesarios!$F$2:$F$112,0)),"VAGO")</f>
        <v/>
      </c>
      <c r="I16" s="26">
        <f>IFERROR(INDEX(Mesarios!$E$2:$E$112,MATCH($A16&amp;"|"&amp;H$1,Mesarios!$F$2:$F$112,0)),"VAGO")</f>
        <v/>
      </c>
      <c r="J16" s="26">
        <f>COUNTIF(C16:I16,"SIM")</f>
        <v/>
      </c>
      <c r="K16" s="26">
        <f>COUNTIF(C16:I16,"NAO")</f>
        <v/>
      </c>
      <c r="L16" s="26">
        <f>COUNTIF(C16:I16,"0006/2026")+COUNTIF(C16:I16,"-")</f>
        <v/>
      </c>
      <c r="M16" s="25">
        <f>IF(J16&gt;=4,"Mesa completa",IF(J16=3,"Falta 1","ATENÇÃO: só "&amp;J16&amp;" presentes"))</f>
        <v/>
      </c>
      <c r="N16" s="25">
        <f>'Por secao'!N16</f>
        <v/>
      </c>
      <c r="O16" s="26">
        <f>'Por secao'!O16</f>
        <v/>
      </c>
    </row>
    <row r="17">
      <c r="A17" s="25">
        <f>'Por secao'!A17</f>
        <v/>
      </c>
      <c r="B17" s="25">
        <f>IFERROR(INDEX(Mesarios!$D$2:$D$112,MATCH($A17&amp;"|"&amp;B$1,Mesarios!$F$2:$F$112,0)),"VAGO")</f>
        <v/>
      </c>
      <c r="C17" s="26">
        <f>IFERROR(INDEX(Mesarios!$E$2:$E$112,MATCH($A17&amp;"|"&amp;B$1,Mesarios!$F$2:$F$112,0)),"VAGO")</f>
        <v/>
      </c>
      <c r="D17" s="25">
        <f>IFERROR(INDEX(Mesarios!$D$2:$D$112,MATCH($A17&amp;"|"&amp;D$1,Mesarios!$F$2:$F$112,0)),"VAGO")</f>
        <v/>
      </c>
      <c r="E17" s="26">
        <f>IFERROR(INDEX(Mesarios!$E$2:$E$112,MATCH($A17&amp;"|"&amp;D$1,Mesarios!$F$2:$F$112,0)),"VAGO")</f>
        <v/>
      </c>
      <c r="F17" s="25">
        <f>IFERROR(INDEX(Mesarios!$D$2:$D$112,MATCH($A17&amp;"|"&amp;F$1,Mesarios!$F$2:$F$112,0)),"VAGO")</f>
        <v/>
      </c>
      <c r="G17" s="26">
        <f>IFERROR(INDEX(Mesarios!$E$2:$E$112,MATCH($A17&amp;"|"&amp;F$1,Mesarios!$F$2:$F$112,0)),"VAGO")</f>
        <v/>
      </c>
      <c r="H17" s="25">
        <f>IFERROR(INDEX(Mesarios!$D$2:$D$112,MATCH($A17&amp;"|"&amp;H$1,Mesarios!$F$2:$F$112,0)),"VAGO")</f>
        <v/>
      </c>
      <c r="I17" s="26">
        <f>IFERROR(INDEX(Mesarios!$E$2:$E$112,MATCH($A17&amp;"|"&amp;H$1,Mesarios!$F$2:$F$112,0)),"VAGO")</f>
        <v/>
      </c>
      <c r="J17" s="26">
        <f>COUNTIF(C17:I17,"SIM")</f>
        <v/>
      </c>
      <c r="K17" s="26">
        <f>COUNTIF(C17:I17,"NAO")</f>
        <v/>
      </c>
      <c r="L17" s="26">
        <f>COUNTIF(C17:I17,"0006/2026")+COUNTIF(C17:I17,"-")</f>
        <v/>
      </c>
      <c r="M17" s="25">
        <f>IF(J17&gt;=4,"Mesa completa",IF(J17=3,"Falta 1","ATENÇÃO: só "&amp;J17&amp;" presentes"))</f>
        <v/>
      </c>
      <c r="N17" s="25">
        <f>'Por secao'!N17</f>
        <v/>
      </c>
      <c r="O17" s="26">
        <f>'Por secao'!O17</f>
        <v/>
      </c>
    </row>
    <row r="18">
      <c r="A18" s="25">
        <f>'Por secao'!A18</f>
        <v/>
      </c>
      <c r="B18" s="25">
        <f>IFERROR(INDEX(Mesarios!$D$2:$D$112,MATCH($A18&amp;"|"&amp;B$1,Mesarios!$F$2:$F$112,0)),"VAGO")</f>
        <v/>
      </c>
      <c r="C18" s="26">
        <f>IFERROR(INDEX(Mesarios!$E$2:$E$112,MATCH($A18&amp;"|"&amp;B$1,Mesarios!$F$2:$F$112,0)),"VAGO")</f>
        <v/>
      </c>
      <c r="D18" s="25">
        <f>IFERROR(INDEX(Mesarios!$D$2:$D$112,MATCH($A18&amp;"|"&amp;D$1,Mesarios!$F$2:$F$112,0)),"VAGO")</f>
        <v/>
      </c>
      <c r="E18" s="26">
        <f>IFERROR(INDEX(Mesarios!$E$2:$E$112,MATCH($A18&amp;"|"&amp;D$1,Mesarios!$F$2:$F$112,0)),"VAGO")</f>
        <v/>
      </c>
      <c r="F18" s="25">
        <f>IFERROR(INDEX(Mesarios!$D$2:$D$112,MATCH($A18&amp;"|"&amp;F$1,Mesarios!$F$2:$F$112,0)),"VAGO")</f>
        <v/>
      </c>
      <c r="G18" s="26">
        <f>IFERROR(INDEX(Mesarios!$E$2:$E$112,MATCH($A18&amp;"|"&amp;F$1,Mesarios!$F$2:$F$112,0)),"VAGO")</f>
        <v/>
      </c>
      <c r="H18" s="25">
        <f>IFERROR(INDEX(Mesarios!$D$2:$D$112,MATCH($A18&amp;"|"&amp;H$1,Mesarios!$F$2:$F$112,0)),"VAGO")</f>
        <v/>
      </c>
      <c r="I18" s="26">
        <f>IFERROR(INDEX(Mesarios!$E$2:$E$112,MATCH($A18&amp;"|"&amp;H$1,Mesarios!$F$2:$F$112,0)),"VAGO")</f>
        <v/>
      </c>
      <c r="J18" s="26">
        <f>COUNTIF(C18:I18,"SIM")</f>
        <v/>
      </c>
      <c r="K18" s="26">
        <f>COUNTIF(C18:I18,"NAO")</f>
        <v/>
      </c>
      <c r="L18" s="26">
        <f>COUNTIF(C18:I18,"0006/2026")+COUNTIF(C18:I18,"-")</f>
        <v/>
      </c>
      <c r="M18" s="25">
        <f>IF(J18&gt;=4,"Mesa completa",IF(J18=3,"Falta 1","ATENÇÃO: só "&amp;J18&amp;" presentes"))</f>
        <v/>
      </c>
      <c r="N18" s="25">
        <f>'Por secao'!N18</f>
        <v/>
      </c>
      <c r="O18" s="26">
        <f>'Por secao'!O18</f>
        <v/>
      </c>
    </row>
    <row r="19">
      <c r="A19" s="25">
        <f>'Por secao'!A19</f>
        <v/>
      </c>
      <c r="B19" s="25">
        <f>IFERROR(INDEX(Mesarios!$D$2:$D$112,MATCH($A19&amp;"|"&amp;B$1,Mesarios!$F$2:$F$112,0)),"VAGO")</f>
        <v/>
      </c>
      <c r="C19" s="26">
        <f>IFERROR(INDEX(Mesarios!$E$2:$E$112,MATCH($A19&amp;"|"&amp;B$1,Mesarios!$F$2:$F$112,0)),"VAGO")</f>
        <v/>
      </c>
      <c r="D19" s="25">
        <f>IFERROR(INDEX(Mesarios!$D$2:$D$112,MATCH($A19&amp;"|"&amp;D$1,Mesarios!$F$2:$F$112,0)),"VAGO")</f>
        <v/>
      </c>
      <c r="E19" s="26">
        <f>IFERROR(INDEX(Mesarios!$E$2:$E$112,MATCH($A19&amp;"|"&amp;D$1,Mesarios!$F$2:$F$112,0)),"VAGO")</f>
        <v/>
      </c>
      <c r="F19" s="25">
        <f>IFERROR(INDEX(Mesarios!$D$2:$D$112,MATCH($A19&amp;"|"&amp;F$1,Mesarios!$F$2:$F$112,0)),"VAGO")</f>
        <v/>
      </c>
      <c r="G19" s="26">
        <f>IFERROR(INDEX(Mesarios!$E$2:$E$112,MATCH($A19&amp;"|"&amp;F$1,Mesarios!$F$2:$F$112,0)),"VAGO")</f>
        <v/>
      </c>
      <c r="H19" s="25">
        <f>IFERROR(INDEX(Mesarios!$D$2:$D$112,MATCH($A19&amp;"|"&amp;H$1,Mesarios!$F$2:$F$112,0)),"VAGO")</f>
        <v/>
      </c>
      <c r="I19" s="26">
        <f>IFERROR(INDEX(Mesarios!$E$2:$E$112,MATCH($A19&amp;"|"&amp;H$1,Mesarios!$F$2:$F$112,0)),"VAGO")</f>
        <v/>
      </c>
      <c r="J19" s="26">
        <f>COUNTIF(C19:I19,"SIM")</f>
        <v/>
      </c>
      <c r="K19" s="26">
        <f>COUNTIF(C19:I19,"NAO")</f>
        <v/>
      </c>
      <c r="L19" s="26">
        <f>COUNTIF(C19:I19,"0006/2026")+COUNTIF(C19:I19,"-")</f>
        <v/>
      </c>
      <c r="M19" s="25">
        <f>IF(J19&gt;=4,"Mesa completa",IF(J19=3,"Falta 1","ATENÇÃO: só "&amp;J19&amp;" presentes"))</f>
        <v/>
      </c>
      <c r="N19" s="25">
        <f>'Por secao'!N19</f>
        <v/>
      </c>
      <c r="O19" s="26">
        <f>'Por secao'!O19</f>
        <v/>
      </c>
    </row>
    <row r="20">
      <c r="A20" s="25">
        <f>'Por secao'!A20</f>
        <v/>
      </c>
      <c r="B20" s="25">
        <f>IFERROR(INDEX(Mesarios!$D$2:$D$112,MATCH($A20&amp;"|"&amp;B$1,Mesarios!$F$2:$F$112,0)),"VAGO")</f>
        <v/>
      </c>
      <c r="C20" s="26">
        <f>IFERROR(INDEX(Mesarios!$E$2:$E$112,MATCH($A20&amp;"|"&amp;B$1,Mesarios!$F$2:$F$112,0)),"VAGO")</f>
        <v/>
      </c>
      <c r="D20" s="25">
        <f>IFERROR(INDEX(Mesarios!$D$2:$D$112,MATCH($A20&amp;"|"&amp;D$1,Mesarios!$F$2:$F$112,0)),"VAGO")</f>
        <v/>
      </c>
      <c r="E20" s="26">
        <f>IFERROR(INDEX(Mesarios!$E$2:$E$112,MATCH($A20&amp;"|"&amp;D$1,Mesarios!$F$2:$F$112,0)),"VAGO")</f>
        <v/>
      </c>
      <c r="F20" s="25">
        <f>IFERROR(INDEX(Mesarios!$D$2:$D$112,MATCH($A20&amp;"|"&amp;F$1,Mesarios!$F$2:$F$112,0)),"VAGO")</f>
        <v/>
      </c>
      <c r="G20" s="26">
        <f>IFERROR(INDEX(Mesarios!$E$2:$E$112,MATCH($A20&amp;"|"&amp;F$1,Mesarios!$F$2:$F$112,0)),"VAGO")</f>
        <v/>
      </c>
      <c r="H20" s="25">
        <f>IFERROR(INDEX(Mesarios!$D$2:$D$112,MATCH($A20&amp;"|"&amp;H$1,Mesarios!$F$2:$F$112,0)),"VAGO")</f>
        <v/>
      </c>
      <c r="I20" s="26">
        <f>IFERROR(INDEX(Mesarios!$E$2:$E$112,MATCH($A20&amp;"|"&amp;H$1,Mesarios!$F$2:$F$112,0)),"VAGO")</f>
        <v/>
      </c>
      <c r="J20" s="26">
        <f>COUNTIF(C20:I20,"SIM")</f>
        <v/>
      </c>
      <c r="K20" s="26">
        <f>COUNTIF(C20:I20,"NAO")</f>
        <v/>
      </c>
      <c r="L20" s="26">
        <f>COUNTIF(C20:I20,"0006/2026")+COUNTIF(C20:I20,"-")</f>
        <v/>
      </c>
      <c r="M20" s="25">
        <f>IF(J20&gt;=4,"Mesa completa",IF(J20=3,"Falta 1","ATENÇÃO: só "&amp;J20&amp;" presentes"))</f>
        <v/>
      </c>
      <c r="N20" s="25">
        <f>'Por secao'!N20</f>
        <v/>
      </c>
      <c r="O20" s="26">
        <f>'Por secao'!O20</f>
        <v/>
      </c>
    </row>
    <row r="21">
      <c r="A21" s="25">
        <f>'Por secao'!A21</f>
        <v/>
      </c>
      <c r="B21" s="25">
        <f>IFERROR(INDEX(Mesarios!$D$2:$D$112,MATCH($A21&amp;"|"&amp;B$1,Mesarios!$F$2:$F$112,0)),"VAGO")</f>
        <v/>
      </c>
      <c r="C21" s="26">
        <f>IFERROR(INDEX(Mesarios!$E$2:$E$112,MATCH($A21&amp;"|"&amp;B$1,Mesarios!$F$2:$F$112,0)),"VAGO")</f>
        <v/>
      </c>
      <c r="D21" s="25">
        <f>IFERROR(INDEX(Mesarios!$D$2:$D$112,MATCH($A21&amp;"|"&amp;D$1,Mesarios!$F$2:$F$112,0)),"VAGO")</f>
        <v/>
      </c>
      <c r="E21" s="26">
        <f>IFERROR(INDEX(Mesarios!$E$2:$E$112,MATCH($A21&amp;"|"&amp;D$1,Mesarios!$F$2:$F$112,0)),"VAGO")</f>
        <v/>
      </c>
      <c r="F21" s="25">
        <f>IFERROR(INDEX(Mesarios!$D$2:$D$112,MATCH($A21&amp;"|"&amp;F$1,Mesarios!$F$2:$F$112,0)),"VAGO")</f>
        <v/>
      </c>
      <c r="G21" s="26">
        <f>IFERROR(INDEX(Mesarios!$E$2:$E$112,MATCH($A21&amp;"|"&amp;F$1,Mesarios!$F$2:$F$112,0)),"VAGO")</f>
        <v/>
      </c>
      <c r="H21" s="25">
        <f>IFERROR(INDEX(Mesarios!$D$2:$D$112,MATCH($A21&amp;"|"&amp;H$1,Mesarios!$F$2:$F$112,0)),"VAGO")</f>
        <v/>
      </c>
      <c r="I21" s="26">
        <f>IFERROR(INDEX(Mesarios!$E$2:$E$112,MATCH($A21&amp;"|"&amp;H$1,Mesarios!$F$2:$F$112,0)),"VAGO")</f>
        <v/>
      </c>
      <c r="J21" s="26">
        <f>COUNTIF(C21:I21,"SIM")</f>
        <v/>
      </c>
      <c r="K21" s="26">
        <f>COUNTIF(C21:I21,"NAO")</f>
        <v/>
      </c>
      <c r="L21" s="26">
        <f>COUNTIF(C21:I21,"0006/2026")+COUNTIF(C21:I21,"-")</f>
        <v/>
      </c>
      <c r="M21" s="25">
        <f>IF(J21&gt;=4,"Mesa completa",IF(J21=3,"Falta 1","ATENÇÃO: só "&amp;J21&amp;" presentes"))</f>
        <v/>
      </c>
      <c r="N21" s="25">
        <f>'Por secao'!N21</f>
        <v/>
      </c>
      <c r="O21" s="26">
        <f>'Por secao'!O21</f>
        <v/>
      </c>
    </row>
    <row r="22">
      <c r="A22" s="25">
        <f>'Por secao'!A22</f>
        <v/>
      </c>
      <c r="B22" s="25">
        <f>IFERROR(INDEX(Mesarios!$D$2:$D$112,MATCH($A22&amp;"|"&amp;B$1,Mesarios!$F$2:$F$112,0)),"VAGO")</f>
        <v/>
      </c>
      <c r="C22" s="26">
        <f>IFERROR(INDEX(Mesarios!$E$2:$E$112,MATCH($A22&amp;"|"&amp;B$1,Mesarios!$F$2:$F$112,0)),"VAGO")</f>
        <v/>
      </c>
      <c r="D22" s="25">
        <f>IFERROR(INDEX(Mesarios!$D$2:$D$112,MATCH($A22&amp;"|"&amp;D$1,Mesarios!$F$2:$F$112,0)),"VAGO")</f>
        <v/>
      </c>
      <c r="E22" s="26">
        <f>IFERROR(INDEX(Mesarios!$E$2:$E$112,MATCH($A22&amp;"|"&amp;D$1,Mesarios!$F$2:$F$112,0)),"VAGO")</f>
        <v/>
      </c>
      <c r="F22" s="25">
        <f>IFERROR(INDEX(Mesarios!$D$2:$D$112,MATCH($A22&amp;"|"&amp;F$1,Mesarios!$F$2:$F$112,0)),"VAGO")</f>
        <v/>
      </c>
      <c r="G22" s="26">
        <f>IFERROR(INDEX(Mesarios!$E$2:$E$112,MATCH($A22&amp;"|"&amp;F$1,Mesarios!$F$2:$F$112,0)),"VAGO")</f>
        <v/>
      </c>
      <c r="H22" s="25">
        <f>IFERROR(INDEX(Mesarios!$D$2:$D$112,MATCH($A22&amp;"|"&amp;H$1,Mesarios!$F$2:$F$112,0)),"VAGO")</f>
        <v/>
      </c>
      <c r="I22" s="26">
        <f>IFERROR(INDEX(Mesarios!$E$2:$E$112,MATCH($A22&amp;"|"&amp;H$1,Mesarios!$F$2:$F$112,0)),"VAGO")</f>
        <v/>
      </c>
      <c r="J22" s="26">
        <f>COUNTIF(C22:I22,"SIM")</f>
        <v/>
      </c>
      <c r="K22" s="26">
        <f>COUNTIF(C22:I22,"NAO")</f>
        <v/>
      </c>
      <c r="L22" s="26">
        <f>COUNTIF(C22:I22,"0006/2026")+COUNTIF(C22:I22,"-")</f>
        <v/>
      </c>
      <c r="M22" s="25">
        <f>IF(J22&gt;=4,"Mesa completa",IF(J22=3,"Falta 1","ATENÇÃO: só "&amp;J22&amp;" presentes"))</f>
        <v/>
      </c>
      <c r="N22" s="25">
        <f>'Por secao'!N22</f>
        <v/>
      </c>
      <c r="O22" s="26">
        <f>'Por secao'!O22</f>
        <v/>
      </c>
    </row>
    <row r="23">
      <c r="A23" s="25">
        <f>'Por secao'!A23</f>
        <v/>
      </c>
      <c r="B23" s="25">
        <f>IFERROR(INDEX(Mesarios!$D$2:$D$112,MATCH($A23&amp;"|"&amp;B$1,Mesarios!$F$2:$F$112,0)),"VAGO")</f>
        <v/>
      </c>
      <c r="C23" s="26">
        <f>IFERROR(INDEX(Mesarios!$E$2:$E$112,MATCH($A23&amp;"|"&amp;B$1,Mesarios!$F$2:$F$112,0)),"VAGO")</f>
        <v/>
      </c>
      <c r="D23" s="25">
        <f>IFERROR(INDEX(Mesarios!$D$2:$D$112,MATCH($A23&amp;"|"&amp;D$1,Mesarios!$F$2:$F$112,0)),"VAGO")</f>
        <v/>
      </c>
      <c r="E23" s="26">
        <f>IFERROR(INDEX(Mesarios!$E$2:$E$112,MATCH($A23&amp;"|"&amp;D$1,Mesarios!$F$2:$F$112,0)),"VAGO")</f>
        <v/>
      </c>
      <c r="F23" s="25">
        <f>IFERROR(INDEX(Mesarios!$D$2:$D$112,MATCH($A23&amp;"|"&amp;F$1,Mesarios!$F$2:$F$112,0)),"VAGO")</f>
        <v/>
      </c>
      <c r="G23" s="26">
        <f>IFERROR(INDEX(Mesarios!$E$2:$E$112,MATCH($A23&amp;"|"&amp;F$1,Mesarios!$F$2:$F$112,0)),"VAGO")</f>
        <v/>
      </c>
      <c r="H23" s="25">
        <f>IFERROR(INDEX(Mesarios!$D$2:$D$112,MATCH($A23&amp;"|"&amp;H$1,Mesarios!$F$2:$F$112,0)),"VAGO")</f>
        <v/>
      </c>
      <c r="I23" s="26">
        <f>IFERROR(INDEX(Mesarios!$E$2:$E$112,MATCH($A23&amp;"|"&amp;H$1,Mesarios!$F$2:$F$112,0)),"VAGO")</f>
        <v/>
      </c>
      <c r="J23" s="26">
        <f>COUNTIF(C23:I23,"SIM")</f>
        <v/>
      </c>
      <c r="K23" s="26">
        <f>COUNTIF(C23:I23,"NAO")</f>
        <v/>
      </c>
      <c r="L23" s="26">
        <f>COUNTIF(C23:I23,"0006/2026")+COUNTIF(C23:I23,"-")</f>
        <v/>
      </c>
      <c r="M23" s="25">
        <f>IF(J23&gt;=4,"Mesa completa",IF(J23=3,"Falta 1","ATENÇÃO: só "&amp;J23&amp;" presentes"))</f>
        <v/>
      </c>
      <c r="N23" s="25">
        <f>'Por secao'!N23</f>
        <v/>
      </c>
      <c r="O23" s="26">
        <f>'Por secao'!O23</f>
        <v/>
      </c>
    </row>
    <row r="24">
      <c r="A24" s="25">
        <f>'Por secao'!A24</f>
        <v/>
      </c>
      <c r="B24" s="25">
        <f>IFERROR(INDEX(Mesarios!$D$2:$D$112,MATCH($A24&amp;"|"&amp;B$1,Mesarios!$F$2:$F$112,0)),"VAGO")</f>
        <v/>
      </c>
      <c r="C24" s="26">
        <f>IFERROR(INDEX(Mesarios!$E$2:$E$112,MATCH($A24&amp;"|"&amp;B$1,Mesarios!$F$2:$F$112,0)),"VAGO")</f>
        <v/>
      </c>
      <c r="D24" s="25">
        <f>IFERROR(INDEX(Mesarios!$D$2:$D$112,MATCH($A24&amp;"|"&amp;D$1,Mesarios!$F$2:$F$112,0)),"VAGO")</f>
        <v/>
      </c>
      <c r="E24" s="26">
        <f>IFERROR(INDEX(Mesarios!$E$2:$E$112,MATCH($A24&amp;"|"&amp;D$1,Mesarios!$F$2:$F$112,0)),"VAGO")</f>
        <v/>
      </c>
      <c r="F24" s="25">
        <f>IFERROR(INDEX(Mesarios!$D$2:$D$112,MATCH($A24&amp;"|"&amp;F$1,Mesarios!$F$2:$F$112,0)),"VAGO")</f>
        <v/>
      </c>
      <c r="G24" s="26">
        <f>IFERROR(INDEX(Mesarios!$E$2:$E$112,MATCH($A24&amp;"|"&amp;F$1,Mesarios!$F$2:$F$112,0)),"VAGO")</f>
        <v/>
      </c>
      <c r="H24" s="25">
        <f>IFERROR(INDEX(Mesarios!$D$2:$D$112,MATCH($A24&amp;"|"&amp;H$1,Mesarios!$F$2:$F$112,0)),"VAGO")</f>
        <v/>
      </c>
      <c r="I24" s="26">
        <f>IFERROR(INDEX(Mesarios!$E$2:$E$112,MATCH($A24&amp;"|"&amp;H$1,Mesarios!$F$2:$F$112,0)),"VAGO")</f>
        <v/>
      </c>
      <c r="J24" s="26">
        <f>COUNTIF(C24:I24,"SIM")</f>
        <v/>
      </c>
      <c r="K24" s="26">
        <f>COUNTIF(C24:I24,"NAO")</f>
        <v/>
      </c>
      <c r="L24" s="26">
        <f>COUNTIF(C24:I24,"0006/2026")+COUNTIF(C24:I24,"-")</f>
        <v/>
      </c>
      <c r="M24" s="25">
        <f>IF(J24&gt;=4,"Mesa completa",IF(J24=3,"Falta 1","ATENÇÃO: só "&amp;J24&amp;" presentes"))</f>
        <v/>
      </c>
      <c r="N24" s="25">
        <f>'Por secao'!N24</f>
        <v/>
      </c>
      <c r="O24" s="26">
        <f>'Por secao'!O24</f>
        <v/>
      </c>
    </row>
    <row r="25">
      <c r="A25" s="25">
        <f>'Por secao'!A25</f>
        <v/>
      </c>
      <c r="B25" s="25">
        <f>IFERROR(INDEX(Mesarios!$D$2:$D$112,MATCH($A25&amp;"|"&amp;B$1,Mesarios!$F$2:$F$112,0)),"VAGO")</f>
        <v/>
      </c>
      <c r="C25" s="26">
        <f>IFERROR(INDEX(Mesarios!$E$2:$E$112,MATCH($A25&amp;"|"&amp;B$1,Mesarios!$F$2:$F$112,0)),"VAGO")</f>
        <v/>
      </c>
      <c r="D25" s="25">
        <f>IFERROR(INDEX(Mesarios!$D$2:$D$112,MATCH($A25&amp;"|"&amp;D$1,Mesarios!$F$2:$F$112,0)),"VAGO")</f>
        <v/>
      </c>
      <c r="E25" s="26">
        <f>IFERROR(INDEX(Mesarios!$E$2:$E$112,MATCH($A25&amp;"|"&amp;D$1,Mesarios!$F$2:$F$112,0)),"VAGO")</f>
        <v/>
      </c>
      <c r="F25" s="25">
        <f>IFERROR(INDEX(Mesarios!$D$2:$D$112,MATCH($A25&amp;"|"&amp;F$1,Mesarios!$F$2:$F$112,0)),"VAGO")</f>
        <v/>
      </c>
      <c r="G25" s="26">
        <f>IFERROR(INDEX(Mesarios!$E$2:$E$112,MATCH($A25&amp;"|"&amp;F$1,Mesarios!$F$2:$F$112,0)),"VAGO")</f>
        <v/>
      </c>
      <c r="H25" s="25">
        <f>IFERROR(INDEX(Mesarios!$D$2:$D$112,MATCH($A25&amp;"|"&amp;H$1,Mesarios!$F$2:$F$112,0)),"VAGO")</f>
        <v/>
      </c>
      <c r="I25" s="26">
        <f>IFERROR(INDEX(Mesarios!$E$2:$E$112,MATCH($A25&amp;"|"&amp;H$1,Mesarios!$F$2:$F$112,0)),"VAGO")</f>
        <v/>
      </c>
      <c r="J25" s="26">
        <f>COUNTIF(C25:I25,"SIM")</f>
        <v/>
      </c>
      <c r="K25" s="26">
        <f>COUNTIF(C25:I25,"NAO")</f>
        <v/>
      </c>
      <c r="L25" s="26">
        <f>COUNTIF(C25:I25,"0006/2026")+COUNTIF(C25:I25,"-")</f>
        <v/>
      </c>
      <c r="M25" s="25">
        <f>IF(J25&gt;=4,"Mesa completa",IF(J25=3,"Falta 1","ATENÇÃO: só "&amp;J25&amp;" presentes"))</f>
        <v/>
      </c>
      <c r="N25" s="25">
        <f>'Por secao'!N25</f>
        <v/>
      </c>
      <c r="O25" s="26">
        <f>'Por secao'!O25</f>
        <v/>
      </c>
    </row>
    <row r="26">
      <c r="A26" s="25">
        <f>'Por secao'!A26</f>
        <v/>
      </c>
      <c r="B26" s="25">
        <f>IFERROR(INDEX(Mesarios!$D$2:$D$112,MATCH($A26&amp;"|"&amp;B$1,Mesarios!$F$2:$F$112,0)),"VAGO")</f>
        <v/>
      </c>
      <c r="C26" s="26">
        <f>IFERROR(INDEX(Mesarios!$E$2:$E$112,MATCH($A26&amp;"|"&amp;B$1,Mesarios!$F$2:$F$112,0)),"VAGO")</f>
        <v/>
      </c>
      <c r="D26" s="25">
        <f>IFERROR(INDEX(Mesarios!$D$2:$D$112,MATCH($A26&amp;"|"&amp;D$1,Mesarios!$F$2:$F$112,0)),"VAGO")</f>
        <v/>
      </c>
      <c r="E26" s="26">
        <f>IFERROR(INDEX(Mesarios!$E$2:$E$112,MATCH($A26&amp;"|"&amp;D$1,Mesarios!$F$2:$F$112,0)),"VAGO")</f>
        <v/>
      </c>
      <c r="F26" s="25">
        <f>IFERROR(INDEX(Mesarios!$D$2:$D$112,MATCH($A26&amp;"|"&amp;F$1,Mesarios!$F$2:$F$112,0)),"VAGO")</f>
        <v/>
      </c>
      <c r="G26" s="26">
        <f>IFERROR(INDEX(Mesarios!$E$2:$E$112,MATCH($A26&amp;"|"&amp;F$1,Mesarios!$F$2:$F$112,0)),"VAGO")</f>
        <v/>
      </c>
      <c r="H26" s="25">
        <f>IFERROR(INDEX(Mesarios!$D$2:$D$112,MATCH($A26&amp;"|"&amp;H$1,Mesarios!$F$2:$F$112,0)),"VAGO")</f>
        <v/>
      </c>
      <c r="I26" s="26">
        <f>IFERROR(INDEX(Mesarios!$E$2:$E$112,MATCH($A26&amp;"|"&amp;H$1,Mesarios!$F$2:$F$112,0)),"VAGO")</f>
        <v/>
      </c>
      <c r="J26" s="26">
        <f>COUNTIF(C26:I26,"SIM")</f>
        <v/>
      </c>
      <c r="K26" s="26">
        <f>COUNTIF(C26:I26,"NAO")</f>
        <v/>
      </c>
      <c r="L26" s="26">
        <f>COUNTIF(C26:I26,"0006/2026")+COUNTIF(C26:I26,"-")</f>
        <v/>
      </c>
      <c r="M26" s="25">
        <f>IF(J26&gt;=4,"Mesa completa",IF(J26=3,"Falta 1","ATENÇÃO: só "&amp;J26&amp;" presentes"))</f>
        <v/>
      </c>
      <c r="N26" s="25">
        <f>'Por secao'!N26</f>
        <v/>
      </c>
      <c r="O26" s="26">
        <f>'Por secao'!O26</f>
        <v/>
      </c>
    </row>
    <row r="27">
      <c r="A27" s="25">
        <f>'Por secao'!A27</f>
        <v/>
      </c>
      <c r="B27" s="25">
        <f>IFERROR(INDEX(Mesarios!$D$2:$D$112,MATCH($A27&amp;"|"&amp;B$1,Mesarios!$F$2:$F$112,0)),"VAGO")</f>
        <v/>
      </c>
      <c r="C27" s="26">
        <f>IFERROR(INDEX(Mesarios!$E$2:$E$112,MATCH($A27&amp;"|"&amp;B$1,Mesarios!$F$2:$F$112,0)),"VAGO")</f>
        <v/>
      </c>
      <c r="D27" s="25">
        <f>IFERROR(INDEX(Mesarios!$D$2:$D$112,MATCH($A27&amp;"|"&amp;D$1,Mesarios!$F$2:$F$112,0)),"VAGO")</f>
        <v/>
      </c>
      <c r="E27" s="26">
        <f>IFERROR(INDEX(Mesarios!$E$2:$E$112,MATCH($A27&amp;"|"&amp;D$1,Mesarios!$F$2:$F$112,0)),"VAGO")</f>
        <v/>
      </c>
      <c r="F27" s="25">
        <f>IFERROR(INDEX(Mesarios!$D$2:$D$112,MATCH($A27&amp;"|"&amp;F$1,Mesarios!$F$2:$F$112,0)),"VAGO")</f>
        <v/>
      </c>
      <c r="G27" s="26">
        <f>IFERROR(INDEX(Mesarios!$E$2:$E$112,MATCH($A27&amp;"|"&amp;F$1,Mesarios!$F$2:$F$112,0)),"VAGO")</f>
        <v/>
      </c>
      <c r="H27" s="25">
        <f>IFERROR(INDEX(Mesarios!$D$2:$D$112,MATCH($A27&amp;"|"&amp;H$1,Mesarios!$F$2:$F$112,0)),"VAGO")</f>
        <v/>
      </c>
      <c r="I27" s="26">
        <f>IFERROR(INDEX(Mesarios!$E$2:$E$112,MATCH($A27&amp;"|"&amp;H$1,Mesarios!$F$2:$F$112,0)),"VAGO")</f>
        <v/>
      </c>
      <c r="J27" s="26">
        <f>COUNTIF(C27:I27,"SIM")</f>
        <v/>
      </c>
      <c r="K27" s="26">
        <f>COUNTIF(C27:I27,"NAO")</f>
        <v/>
      </c>
      <c r="L27" s="26">
        <f>COUNTIF(C27:I27,"0006/2026")+COUNTIF(C27:I27,"-")</f>
        <v/>
      </c>
      <c r="M27" s="25">
        <f>IF(J27&gt;=4,"Mesa completa",IF(J27=3,"Falta 1","ATENÇÃO: só "&amp;J27&amp;" presentes"))</f>
        <v/>
      </c>
      <c r="N27" s="25">
        <f>'Por secao'!N27</f>
        <v/>
      </c>
      <c r="O27" s="26">
        <f>'Por secao'!O27</f>
        <v/>
      </c>
    </row>
    <row r="28">
      <c r="A28" s="25">
        <f>'Por secao'!A28</f>
        <v/>
      </c>
      <c r="B28" s="25">
        <f>IFERROR(INDEX(Mesarios!$D$2:$D$112,MATCH($A28&amp;"|"&amp;B$1,Mesarios!$F$2:$F$112,0)),"VAGO")</f>
        <v/>
      </c>
      <c r="C28" s="26">
        <f>IFERROR(INDEX(Mesarios!$E$2:$E$112,MATCH($A28&amp;"|"&amp;B$1,Mesarios!$F$2:$F$112,0)),"VAGO")</f>
        <v/>
      </c>
      <c r="D28" s="25">
        <f>IFERROR(INDEX(Mesarios!$D$2:$D$112,MATCH($A28&amp;"|"&amp;D$1,Mesarios!$F$2:$F$112,0)),"VAGO")</f>
        <v/>
      </c>
      <c r="E28" s="26">
        <f>IFERROR(INDEX(Mesarios!$E$2:$E$112,MATCH($A28&amp;"|"&amp;D$1,Mesarios!$F$2:$F$112,0)),"VAGO")</f>
        <v/>
      </c>
      <c r="F28" s="25">
        <f>IFERROR(INDEX(Mesarios!$D$2:$D$112,MATCH($A28&amp;"|"&amp;F$1,Mesarios!$F$2:$F$112,0)),"VAGO")</f>
        <v/>
      </c>
      <c r="G28" s="26">
        <f>IFERROR(INDEX(Mesarios!$E$2:$E$112,MATCH($A28&amp;"|"&amp;F$1,Mesarios!$F$2:$F$112,0)),"VAGO")</f>
        <v/>
      </c>
      <c r="H28" s="25">
        <f>IFERROR(INDEX(Mesarios!$D$2:$D$112,MATCH($A28&amp;"|"&amp;H$1,Mesarios!$F$2:$F$112,0)),"VAGO")</f>
        <v/>
      </c>
      <c r="I28" s="26">
        <f>IFERROR(INDEX(Mesarios!$E$2:$E$112,MATCH($A28&amp;"|"&amp;H$1,Mesarios!$F$2:$F$112,0)),"VAGO")</f>
        <v/>
      </c>
      <c r="J28" s="26">
        <f>COUNTIF(C28:I28,"SIM")</f>
        <v/>
      </c>
      <c r="K28" s="26">
        <f>COUNTIF(C28:I28,"NAO")</f>
        <v/>
      </c>
      <c r="L28" s="26">
        <f>COUNTIF(C28:I28,"0006/2026")+COUNTIF(C28:I28,"-")</f>
        <v/>
      </c>
      <c r="M28" s="25">
        <f>IF(J28&gt;=4,"Mesa completa",IF(J28=3,"Falta 1","ATENÇÃO: só "&amp;J28&amp;" presentes"))</f>
        <v/>
      </c>
      <c r="N28" s="25">
        <f>'Por secao'!N28</f>
        <v/>
      </c>
      <c r="O28" s="26">
        <f>'Por secao'!O28</f>
        <v/>
      </c>
    </row>
    <row r="29">
      <c r="A29" s="25">
        <f>'Por secao'!A29</f>
        <v/>
      </c>
      <c r="B29" s="25">
        <f>IFERROR(INDEX(Mesarios!$D$2:$D$112,MATCH($A29&amp;"|"&amp;B$1,Mesarios!$F$2:$F$112,0)),"VAGO")</f>
        <v/>
      </c>
      <c r="C29" s="26">
        <f>IFERROR(INDEX(Mesarios!$E$2:$E$112,MATCH($A29&amp;"|"&amp;B$1,Mesarios!$F$2:$F$112,0)),"VAGO")</f>
        <v/>
      </c>
      <c r="D29" s="25">
        <f>IFERROR(INDEX(Mesarios!$D$2:$D$112,MATCH($A29&amp;"|"&amp;D$1,Mesarios!$F$2:$F$112,0)),"VAGO")</f>
        <v/>
      </c>
      <c r="E29" s="26">
        <f>IFERROR(INDEX(Mesarios!$E$2:$E$112,MATCH($A29&amp;"|"&amp;D$1,Mesarios!$F$2:$F$112,0)),"VAGO")</f>
        <v/>
      </c>
      <c r="F29" s="25">
        <f>IFERROR(INDEX(Mesarios!$D$2:$D$112,MATCH($A29&amp;"|"&amp;F$1,Mesarios!$F$2:$F$112,0)),"VAGO")</f>
        <v/>
      </c>
      <c r="G29" s="26">
        <f>IFERROR(INDEX(Mesarios!$E$2:$E$112,MATCH($A29&amp;"|"&amp;F$1,Mesarios!$F$2:$F$112,0)),"VAGO")</f>
        <v/>
      </c>
      <c r="H29" s="25">
        <f>IFERROR(INDEX(Mesarios!$D$2:$D$112,MATCH($A29&amp;"|"&amp;H$1,Mesarios!$F$2:$F$112,0)),"VAGO")</f>
        <v/>
      </c>
      <c r="I29" s="26">
        <f>IFERROR(INDEX(Mesarios!$E$2:$E$112,MATCH($A29&amp;"|"&amp;H$1,Mesarios!$F$2:$F$112,0)),"VAGO")</f>
        <v/>
      </c>
      <c r="J29" s="26">
        <f>COUNTIF(C29:I29,"SIM")</f>
        <v/>
      </c>
      <c r="K29" s="26">
        <f>COUNTIF(C29:I29,"NAO")</f>
        <v/>
      </c>
      <c r="L29" s="26">
        <f>COUNTIF(C29:I29,"0006/2026")+COUNTIF(C29:I29,"-")</f>
        <v/>
      </c>
      <c r="M29" s="25">
        <f>IF(J29&gt;=4,"Mesa completa",IF(J29=3,"Falta 1","ATENÇÃO: só "&amp;J29&amp;" presentes"))</f>
        <v/>
      </c>
      <c r="N29" s="25">
        <f>'Por secao'!N29</f>
        <v/>
      </c>
      <c r="O29" s="26">
        <f>'Por secao'!O29</f>
        <v/>
      </c>
    </row>
    <row r="30">
      <c r="A30" s="27" t="inlineStr">
        <is>
          <t>Total</t>
        </is>
      </c>
      <c r="J30" s="27">
        <f>SUM(J2:J29)</f>
        <v/>
      </c>
      <c r="K30" s="27">
        <f>SUM(K2:K29)</f>
        <v/>
      </c>
      <c r="L30" s="27">
        <f>SUM(L2:L29)</f>
        <v/>
      </c>
      <c r="M30" s="27">
        <f>COUNTIF(M2:M29,"Mesa completa")&amp;" completas · "&amp;COUNTIF(M2:M29,"Falta 1")&amp;" falta 1 · "&amp;COUNTIF(M2:M29,"ATENÇÃO*")&amp;" em atenção"</f>
        <v/>
      </c>
    </row>
    <row r="32">
      <c r="A32" s="21" t="inlineStr">
        <is>
          <t>Leitura: nomes e presença vêm da aba Mesarios (coluna Presença). SIM = presente (verde) · NAO = ausente (vermelho) · 0006/2026 (amarelo) · "-" = sem registro (cinza) · VAGO = função sem mesário designado. Editar só a aba Mesarios; esta aba recalcula sozinha.</t>
        </is>
      </c>
    </row>
  </sheetData>
  <autoFilter ref="A1:O29"/>
  <conditionalFormatting sqref="A2:A29">
    <cfRule type="expression" priority="9" dxfId="20">
      <formula>$O2="Alto"</formula>
    </cfRule>
    <cfRule type="expression" priority="10" dxfId="19">
      <formula>$O2="Médio"</formula>
    </cfRule>
    <cfRule type="expression" priority="11" dxfId="18">
      <formula>$O2="Baixo"</formula>
    </cfRule>
  </conditionalFormatting>
  <conditionalFormatting sqref="C2:C29 E2:E29 G2:G29 I2:I29">
    <cfRule type="expression" priority="1" dxfId="17">
      <formula>C2="SIM"</formula>
    </cfRule>
    <cfRule type="expression" priority="2" dxfId="4">
      <formula>C2="NAO"</formula>
    </cfRule>
    <cfRule type="expression" priority="3" dxfId="3">
      <formula>C2="0006/2026"</formula>
    </cfRule>
    <cfRule type="expression" priority="4" dxfId="14">
      <formula>C2="-"</formula>
    </cfRule>
    <cfRule type="expression" priority="5" dxfId="13">
      <formula>C2="VAGO"</formula>
    </cfRule>
  </conditionalFormatting>
  <conditionalFormatting sqref="J2:J29">
    <cfRule type="expression" priority="6" dxfId="4">
      <formula>J2&lt;3</formula>
    </cfRule>
  </conditionalFormatting>
  <conditionalFormatting sqref="M2:M29">
    <cfRule type="expression" priority="7" dxfId="11">
      <formula>LEFT(M2,7)="ATENÇÃO"</formula>
    </cfRule>
    <cfRule type="expression" priority="8" dxfId="3">
      <formula>M2="Falta 1"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K4" sqref="K4"/>
    </sheetView>
  </sheetViews>
  <sheetFormatPr baseColWidth="8" defaultRowHeight="15"/>
  <cols>
    <col width="9" customWidth="1" min="1" max="1"/>
    <col width="12" customWidth="1" min="2" max="5"/>
    <col width="13" customWidth="1" min="6" max="6"/>
    <col width="12" customWidth="1" min="7" max="7"/>
    <col width="14" customWidth="1" min="8" max="8"/>
    <col width="22" customWidth="1" min="9" max="9"/>
    <col width="10" customWidth="1" min="10" max="10"/>
    <col width="40" customWidth="1" min="11" max="11"/>
    <col width="11" customWidth="1" min="12" max="13"/>
    <col width="11.7109375" bestFit="1" customWidth="1" min="14" max="14"/>
    <col width="15.85546875" bestFit="1" customWidth="1" min="15" max="15"/>
    <col width="14" customWidth="1" min="16" max="16"/>
    <col width="17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16" t="inlineStr">
        <is>
          <t>Seção</t>
        </is>
      </c>
      <c r="B1" s="16" t="inlineStr">
        <is>
          <t>Designados</t>
        </is>
      </c>
      <c r="C1" s="16" t="inlineStr">
        <is>
          <t>Presidente</t>
        </is>
      </c>
      <c r="D1" s="16" t="inlineStr">
        <is>
          <t>1º Mesário</t>
        </is>
      </c>
      <c r="E1" s="16" t="inlineStr">
        <is>
          <t>2º Mesário</t>
        </is>
      </c>
      <c r="F1" s="16" t="inlineStr">
        <is>
          <t>1º Secretário</t>
        </is>
      </c>
      <c r="G1" s="16" t="inlineStr">
        <is>
          <t>Presentes (SIM)</t>
        </is>
      </c>
      <c r="H1" s="16" t="inlineStr">
        <is>
          <t>Ausentes (NAO)</t>
        </is>
      </c>
      <c r="I1" s="16" t="inlineStr">
        <is>
          <t>Outros (0006/2026 ou -)</t>
        </is>
      </c>
      <c r="J1" s="16" t="inlineStr">
        <is>
          <t>Função vaga</t>
        </is>
      </c>
      <c r="K1" s="17" t="inlineStr">
        <is>
          <t>Alerta</t>
        </is>
      </c>
      <c r="L1" s="16" t="inlineStr">
        <is>
          <t>Seção agregada</t>
        </is>
      </c>
      <c r="M1" s="16" t="inlineStr">
        <is>
          <t>Aptos na urna</t>
        </is>
      </c>
      <c r="N1" s="16" t="inlineStr">
        <is>
          <t>Eleitores esperados</t>
        </is>
      </c>
      <c r="O1" s="16" t="inlineStr">
        <is>
          <t>Faixa</t>
        </is>
      </c>
      <c r="P1" s="36" t="inlineStr">
        <is>
          <t>Aptos (BU)</t>
        </is>
      </c>
      <c r="Q1" s="36" t="inlineStr">
        <is>
          <t>Comparecimento efetivo (BU)</t>
        </is>
      </c>
      <c r="R1" s="36" t="inlineStr">
        <is>
          <t>Faltosos (BU)</t>
        </is>
      </c>
      <c r="S1" s="36" t="inlineStr">
        <is>
          <t>Taxa de comparecimento</t>
        </is>
      </c>
      <c r="T1" s="36" t="inlineStr">
        <is>
          <t>Efetivo − esperado</t>
        </is>
      </c>
      <c r="U1" s="36" t="inlineStr">
        <is>
          <t>Desvio vs esperado</t>
        </is>
      </c>
      <c r="V1" s="36" t="inlineStr">
        <is>
          <t>Posição (efetivo)</t>
        </is>
      </c>
      <c r="W1" s="36" t="inlineStr">
        <is>
          <t>Faixa efetiva</t>
        </is>
      </c>
    </row>
    <row r="2">
      <c r="A2" s="15" t="n">
        <v>511</v>
      </c>
      <c r="B2" s="11">
        <f>COUNTIFS(Mesarios!$A$2:$A$112,$A2)</f>
        <v/>
      </c>
      <c r="C2" s="11">
        <f>IF(COUNTIFS(Mesarios!$A$2:$A$112,$A2,Mesarios!$B$2:$B$112,C$1)&gt;0,"✓","VAGO")</f>
        <v/>
      </c>
      <c r="D2" s="11">
        <f>IF(COUNTIFS(Mesarios!$A$2:$A$112,$A2,Mesarios!$B$2:$B$112,D$1)&gt;0,"✓","VAGO")</f>
        <v/>
      </c>
      <c r="E2" s="11">
        <f>IF(COUNTIFS(Mesarios!$A$2:$A$112,$A2,Mesarios!$B$2:$B$112,E$1)&gt;0,"✓","VAGO")</f>
        <v/>
      </c>
      <c r="F2" s="11">
        <f>IF(COUNTIFS(Mesarios!$A$2:$A$112,$A2,Mesarios!$B$2:$B$112,F$1)&gt;0,"✓","VAGO")</f>
        <v/>
      </c>
      <c r="G2" s="11">
        <f>COUNTIFS(Mesarios!$A$2:$A$112,$A2,Mesarios!$E$2:$E$112,"SIM")</f>
        <v/>
      </c>
      <c r="H2" s="11">
        <f>COUNTIFS(Mesarios!$A$2:$A$112,$A2,Mesarios!$E$2:$E$112,"NAO")</f>
        <v/>
      </c>
      <c r="I2" s="11">
        <f>COUNTIFS(Mesarios!$A$2:$A$112,$A2,Mesarios!$E$2:$E$112,"0006/2026")+COUNTIFS(Mesarios!$A$2:$A$112,$A2,Mesarios!$E$2:$E$112,"-")</f>
        <v/>
      </c>
      <c r="J2" s="11">
        <f>COUNTIF(C2:F2,"VAGO")</f>
        <v/>
      </c>
      <c r="K2" s="14">
        <f>IF(B2&lt;4,"Mesa com "&amp;B2&amp;" designados","")&amp;IF(AND(B2&lt;4,G2&lt;3)," · ","")&amp;IF(G2&lt;3,"Só "&amp;G2&amp;" presentes","")</f>
        <v/>
      </c>
      <c r="L2" s="13" t="n">
        <v>1100</v>
      </c>
      <c r="M2" s="12" t="n">
        <v>582</v>
      </c>
      <c r="N2" s="12" t="n">
        <v>375</v>
      </c>
      <c r="O2" s="11">
        <f>IF(N2&gt;=$N$34,"Alto",IF(N2&gt;=$N$35,"Médio","Baixo"))</f>
        <v/>
      </c>
      <c r="P2" s="12" t="n">
        <v>582</v>
      </c>
      <c r="Q2" s="12" t="n">
        <v>226</v>
      </c>
      <c r="R2" s="37">
        <f>P2-Q2</f>
        <v/>
      </c>
      <c r="S2" s="38">
        <f>Q2/P2</f>
        <v/>
      </c>
      <c r="T2" s="39">
        <f>Q2-N2</f>
        <v/>
      </c>
      <c r="U2" s="40">
        <f>Q2/N2-1</f>
        <v/>
      </c>
      <c r="V2" s="41">
        <f>RANK(Q2,$Q$2:$Q$29)+COUNTIF($Q$2:Q2,Q2)-1</f>
        <v/>
      </c>
      <c r="W2" s="11">
        <f>IF(Q2&gt;=$W$34,"Alto",IF(Q2&gt;=$W$35,"Médio","Baixo"))</f>
        <v/>
      </c>
    </row>
    <row r="3">
      <c r="A3" s="15" t="n">
        <v>512</v>
      </c>
      <c r="B3" s="11">
        <f>COUNTIFS(Mesarios!$A$2:$A$112,$A3)</f>
        <v/>
      </c>
      <c r="C3" s="11">
        <f>IF(COUNTIFS(Mesarios!$A$2:$A$112,$A3,Mesarios!$B$2:$B$112,C$1)&gt;0,"✓","VAGO")</f>
        <v/>
      </c>
      <c r="D3" s="11">
        <f>IF(COUNTIFS(Mesarios!$A$2:$A$112,$A3,Mesarios!$B$2:$B$112,D$1)&gt;0,"✓","VAGO")</f>
        <v/>
      </c>
      <c r="E3" s="11">
        <f>IF(COUNTIFS(Mesarios!$A$2:$A$112,$A3,Mesarios!$B$2:$B$112,E$1)&gt;0,"✓","VAGO")</f>
        <v/>
      </c>
      <c r="F3" s="11">
        <f>IF(COUNTIFS(Mesarios!$A$2:$A$112,$A3,Mesarios!$B$2:$B$112,F$1)&gt;0,"✓","VAGO")</f>
        <v/>
      </c>
      <c r="G3" s="11">
        <f>COUNTIFS(Mesarios!$A$2:$A$112,$A3,Mesarios!$E$2:$E$112,"SIM")</f>
        <v/>
      </c>
      <c r="H3" s="11">
        <f>COUNTIFS(Mesarios!$A$2:$A$112,$A3,Mesarios!$E$2:$E$112,"NAO")</f>
        <v/>
      </c>
      <c r="I3" s="11">
        <f>COUNTIFS(Mesarios!$A$2:$A$112,$A3,Mesarios!$E$2:$E$112,"0006/2026")+COUNTIFS(Mesarios!$A$2:$A$112,$A3,Mesarios!$E$2:$E$112,"-")</f>
        <v/>
      </c>
      <c r="J3" s="11">
        <f>COUNTIF(C3:F3,"VAGO")</f>
        <v/>
      </c>
      <c r="K3" s="14">
        <f>IF(B3&lt;4,"Mesa com "&amp;B3&amp;" designados","")&amp;IF(AND(B3&lt;4,G3&lt;3)," · ","")&amp;IF(G3&lt;3,"Só "&amp;G3&amp;" presentes","")</f>
        <v/>
      </c>
      <c r="L3" s="13" t="n">
        <v>2855</v>
      </c>
      <c r="M3" s="12" t="n">
        <v>476</v>
      </c>
      <c r="N3" s="12" t="n">
        <v>355</v>
      </c>
      <c r="O3" s="11">
        <f>IF(N3&gt;=$N$34,"Alto",IF(N3&gt;=$N$35,"Médio","Baixo"))</f>
        <v/>
      </c>
      <c r="P3" s="12" t="n">
        <v>476</v>
      </c>
      <c r="Q3" s="12" t="n">
        <v>204</v>
      </c>
      <c r="R3" s="37">
        <f>P3-Q3</f>
        <v/>
      </c>
      <c r="S3" s="38">
        <f>Q3/P3</f>
        <v/>
      </c>
      <c r="T3" s="39">
        <f>Q3-N3</f>
        <v/>
      </c>
      <c r="U3" s="40">
        <f>Q3/N3-1</f>
        <v/>
      </c>
      <c r="V3" s="41">
        <f>RANK(Q3,$Q$2:$Q$29)+COUNTIF($Q$2:Q3,Q3)-1</f>
        <v/>
      </c>
      <c r="W3" s="11">
        <f>IF(Q3&gt;=$W$34,"Alto",IF(Q3&gt;=$W$35,"Médio","Baixo"))</f>
        <v/>
      </c>
    </row>
    <row r="4">
      <c r="A4" s="15" t="n">
        <v>513</v>
      </c>
      <c r="B4" s="11">
        <f>COUNTIFS(Mesarios!$A$2:$A$112,$A4)</f>
        <v/>
      </c>
      <c r="C4" s="11">
        <f>IF(COUNTIFS(Mesarios!$A$2:$A$112,$A4,Mesarios!$B$2:$B$112,C$1)&gt;0,"✓","VAGO")</f>
        <v/>
      </c>
      <c r="D4" s="11">
        <f>IF(COUNTIFS(Mesarios!$A$2:$A$112,$A4,Mesarios!$B$2:$B$112,D$1)&gt;0,"✓","VAGO")</f>
        <v/>
      </c>
      <c r="E4" s="11">
        <f>IF(COUNTIFS(Mesarios!$A$2:$A$112,$A4,Mesarios!$B$2:$B$112,E$1)&gt;0,"✓","VAGO")</f>
        <v/>
      </c>
      <c r="F4" s="11">
        <f>IF(COUNTIFS(Mesarios!$A$2:$A$112,$A4,Mesarios!$B$2:$B$112,F$1)&gt;0,"✓","VAGO")</f>
        <v/>
      </c>
      <c r="G4" s="11">
        <f>COUNTIFS(Mesarios!$A$2:$A$112,$A4,Mesarios!$E$2:$E$112,"SIM")</f>
        <v/>
      </c>
      <c r="H4" s="11">
        <f>COUNTIFS(Mesarios!$A$2:$A$112,$A4,Mesarios!$E$2:$E$112,"NAO")</f>
        <v/>
      </c>
      <c r="I4" s="11">
        <f>COUNTIFS(Mesarios!$A$2:$A$112,$A4,Mesarios!$E$2:$E$112,"0006/2026")+COUNTIFS(Mesarios!$A$2:$A$112,$A4,Mesarios!$E$2:$E$112,"-")</f>
        <v/>
      </c>
      <c r="J4" s="11">
        <f>COUNTIF(C4:F4,"VAGO")</f>
        <v/>
      </c>
      <c r="K4" s="14">
        <f>IF(B4&lt;4,"Mesa com "&amp;B4&amp;" designados","")&amp;IF(AND(B4&lt;4,G4&lt;3)," · ","")&amp;IF(G4&lt;3,"Só "&amp;G4&amp;" presentes","")</f>
        <v/>
      </c>
      <c r="L4" s="13" t="n">
        <v>1105</v>
      </c>
      <c r="M4" s="12" t="n">
        <v>502</v>
      </c>
      <c r="N4" s="12" t="n">
        <v>351</v>
      </c>
      <c r="O4" s="11">
        <f>IF(N4&gt;=$N$34,"Alto",IF(N4&gt;=$N$35,"Médio","Baixo"))</f>
        <v/>
      </c>
      <c r="P4" s="12" t="n">
        <v>501</v>
      </c>
      <c r="Q4" s="12" t="n">
        <v>190</v>
      </c>
      <c r="R4" s="37">
        <f>P4-Q4</f>
        <v/>
      </c>
      <c r="S4" s="38">
        <f>Q4/P4</f>
        <v/>
      </c>
      <c r="T4" s="39">
        <f>Q4-N4</f>
        <v/>
      </c>
      <c r="U4" s="40">
        <f>Q4/N4-1</f>
        <v/>
      </c>
      <c r="V4" s="41">
        <f>RANK(Q4,$Q$2:$Q$29)+COUNTIF($Q$2:Q4,Q4)-1</f>
        <v/>
      </c>
      <c r="W4" s="11">
        <f>IF(Q4&gt;=$W$34,"Alto",IF(Q4&gt;=$W$35,"Médio","Baixo"))</f>
        <v/>
      </c>
    </row>
    <row r="5">
      <c r="A5" s="15" t="n">
        <v>517</v>
      </c>
      <c r="B5" s="11">
        <f>COUNTIFS(Mesarios!$A$2:$A$112,$A5)</f>
        <v/>
      </c>
      <c r="C5" s="11">
        <f>IF(COUNTIFS(Mesarios!$A$2:$A$112,$A5,Mesarios!$B$2:$B$112,C$1)&gt;0,"✓","VAGO")</f>
        <v/>
      </c>
      <c r="D5" s="11">
        <f>IF(COUNTIFS(Mesarios!$A$2:$A$112,$A5,Mesarios!$B$2:$B$112,D$1)&gt;0,"✓","VAGO")</f>
        <v/>
      </c>
      <c r="E5" s="11">
        <f>IF(COUNTIFS(Mesarios!$A$2:$A$112,$A5,Mesarios!$B$2:$B$112,E$1)&gt;0,"✓","VAGO")</f>
        <v/>
      </c>
      <c r="F5" s="11">
        <f>IF(COUNTIFS(Mesarios!$A$2:$A$112,$A5,Mesarios!$B$2:$B$112,F$1)&gt;0,"✓","VAGO")</f>
        <v/>
      </c>
      <c r="G5" s="11">
        <f>COUNTIFS(Mesarios!$A$2:$A$112,$A5,Mesarios!$E$2:$E$112,"SIM")</f>
        <v/>
      </c>
      <c r="H5" s="11">
        <f>COUNTIFS(Mesarios!$A$2:$A$112,$A5,Mesarios!$E$2:$E$112,"NAO")</f>
        <v/>
      </c>
      <c r="I5" s="11">
        <f>COUNTIFS(Mesarios!$A$2:$A$112,$A5,Mesarios!$E$2:$E$112,"0006/2026")+COUNTIFS(Mesarios!$A$2:$A$112,$A5,Mesarios!$E$2:$E$112,"-")</f>
        <v/>
      </c>
      <c r="J5" s="11">
        <f>COUNTIF(C5:F5,"VAGO")</f>
        <v/>
      </c>
      <c r="K5" s="14">
        <f>IF(B5&lt;4,"Mesa com "&amp;B5&amp;" designados","")&amp;IF(AND(B5&lt;4,G5&lt;3)," · ","")&amp;IF(G5&lt;3,"Só "&amp;G5&amp;" presentes","")</f>
        <v/>
      </c>
      <c r="L5" s="13" t="n">
        <v>1292</v>
      </c>
      <c r="M5" s="12" t="n">
        <v>513</v>
      </c>
      <c r="N5" s="12" t="n">
        <v>348</v>
      </c>
      <c r="O5" s="11">
        <f>IF(N5&gt;=$N$34,"Alto",IF(N5&gt;=$N$35,"Médio","Baixo"))</f>
        <v/>
      </c>
      <c r="P5" s="12" t="n">
        <v>512</v>
      </c>
      <c r="Q5" s="12" t="n">
        <v>220</v>
      </c>
      <c r="R5" s="37">
        <f>P5-Q5</f>
        <v/>
      </c>
      <c r="S5" s="38">
        <f>Q5/P5</f>
        <v/>
      </c>
      <c r="T5" s="39">
        <f>Q5-N5</f>
        <v/>
      </c>
      <c r="U5" s="40">
        <f>Q5/N5-1</f>
        <v/>
      </c>
      <c r="V5" s="41">
        <f>RANK(Q5,$Q$2:$Q$29)+COUNTIF($Q$2:Q5,Q5)-1</f>
        <v/>
      </c>
      <c r="W5" s="11">
        <f>IF(Q5&gt;=$W$34,"Alto",IF(Q5&gt;=$W$35,"Médio","Baixo"))</f>
        <v/>
      </c>
    </row>
    <row r="6">
      <c r="A6" s="15" t="n">
        <v>1160</v>
      </c>
      <c r="B6" s="11">
        <f>COUNTIFS(Mesarios!$A$2:$A$112,$A6)</f>
        <v/>
      </c>
      <c r="C6" s="11">
        <f>IF(COUNTIFS(Mesarios!$A$2:$A$112,$A6,Mesarios!$B$2:$B$112,C$1)&gt;0,"✓","VAGO")</f>
        <v/>
      </c>
      <c r="D6" s="11">
        <f>IF(COUNTIFS(Mesarios!$A$2:$A$112,$A6,Mesarios!$B$2:$B$112,D$1)&gt;0,"✓","VAGO")</f>
        <v/>
      </c>
      <c r="E6" s="11">
        <f>IF(COUNTIFS(Mesarios!$A$2:$A$112,$A6,Mesarios!$B$2:$B$112,E$1)&gt;0,"✓","VAGO")</f>
        <v/>
      </c>
      <c r="F6" s="11">
        <f>IF(COUNTIFS(Mesarios!$A$2:$A$112,$A6,Mesarios!$B$2:$B$112,F$1)&gt;0,"✓","VAGO")</f>
        <v/>
      </c>
      <c r="G6" s="11">
        <f>COUNTIFS(Mesarios!$A$2:$A$112,$A6,Mesarios!$E$2:$E$112,"SIM")</f>
        <v/>
      </c>
      <c r="H6" s="11">
        <f>COUNTIFS(Mesarios!$A$2:$A$112,$A6,Mesarios!$E$2:$E$112,"NAO")</f>
        <v/>
      </c>
      <c r="I6" s="11">
        <f>COUNTIFS(Mesarios!$A$2:$A$112,$A6,Mesarios!$E$2:$E$112,"0006/2026")+COUNTIFS(Mesarios!$A$2:$A$112,$A6,Mesarios!$E$2:$E$112,"-")</f>
        <v/>
      </c>
      <c r="J6" s="11">
        <f>COUNTIF(C6:F6,"VAGO")</f>
        <v/>
      </c>
      <c r="K6" s="14">
        <f>IF(B6&lt;4,"Mesa com "&amp;B6&amp;" designados","")&amp;IF(AND(B6&lt;4,G6&lt;3)," · ","")&amp;IF(G6&lt;3,"Só "&amp;G6&amp;" presentes","")</f>
        <v/>
      </c>
      <c r="L6" s="13" t="n">
        <v>3845</v>
      </c>
      <c r="M6" s="12" t="n">
        <v>473</v>
      </c>
      <c r="N6" s="12" t="n">
        <v>328</v>
      </c>
      <c r="O6" s="11">
        <f>IF(N6&gt;=$N$34,"Alto",IF(N6&gt;=$N$35,"Médio","Baixo"))</f>
        <v/>
      </c>
      <c r="P6" s="12" t="n">
        <v>472</v>
      </c>
      <c r="Q6" s="12" t="n">
        <v>239</v>
      </c>
      <c r="R6" s="37">
        <f>P6-Q6</f>
        <v/>
      </c>
      <c r="S6" s="38">
        <f>Q6/P6</f>
        <v/>
      </c>
      <c r="T6" s="39">
        <f>Q6-N6</f>
        <v/>
      </c>
      <c r="U6" s="40">
        <f>Q6/N6-1</f>
        <v/>
      </c>
      <c r="V6" s="41">
        <f>RANK(Q6,$Q$2:$Q$29)+COUNTIF($Q$2:Q6,Q6)-1</f>
        <v/>
      </c>
      <c r="W6" s="11">
        <f>IF(Q6&gt;=$W$34,"Alto",IF(Q6&gt;=$W$35,"Médio","Baixo"))</f>
        <v/>
      </c>
    </row>
    <row r="7">
      <c r="A7" s="15" t="n">
        <v>1352</v>
      </c>
      <c r="B7" s="11">
        <f>COUNTIFS(Mesarios!$A$2:$A$112,$A7)</f>
        <v/>
      </c>
      <c r="C7" s="11">
        <f>IF(COUNTIFS(Mesarios!$A$2:$A$112,$A7,Mesarios!$B$2:$B$112,C$1)&gt;0,"✓","VAGO")</f>
        <v/>
      </c>
      <c r="D7" s="11">
        <f>IF(COUNTIFS(Mesarios!$A$2:$A$112,$A7,Mesarios!$B$2:$B$112,D$1)&gt;0,"✓","VAGO")</f>
        <v/>
      </c>
      <c r="E7" s="11">
        <f>IF(COUNTIFS(Mesarios!$A$2:$A$112,$A7,Mesarios!$B$2:$B$112,E$1)&gt;0,"✓","VAGO")</f>
        <v/>
      </c>
      <c r="F7" s="11">
        <f>IF(COUNTIFS(Mesarios!$A$2:$A$112,$A7,Mesarios!$B$2:$B$112,F$1)&gt;0,"✓","VAGO")</f>
        <v/>
      </c>
      <c r="G7" s="11">
        <f>COUNTIFS(Mesarios!$A$2:$A$112,$A7,Mesarios!$E$2:$E$112,"SIM")</f>
        <v/>
      </c>
      <c r="H7" s="11">
        <f>COUNTIFS(Mesarios!$A$2:$A$112,$A7,Mesarios!$E$2:$E$112,"NAO")</f>
        <v/>
      </c>
      <c r="I7" s="11">
        <f>COUNTIFS(Mesarios!$A$2:$A$112,$A7,Mesarios!$E$2:$E$112,"0006/2026")+COUNTIFS(Mesarios!$A$2:$A$112,$A7,Mesarios!$E$2:$E$112,"-")</f>
        <v/>
      </c>
      <c r="J7" s="11">
        <f>COUNTIF(C7:F7,"VAGO")</f>
        <v/>
      </c>
      <c r="K7" s="14">
        <f>IF(B7&lt;4,"Mesa com "&amp;B7&amp;" designados","")&amp;IF(AND(B7&lt;4,G7&lt;3)," · ","")&amp;IF(G7&lt;3,"Só "&amp;G7&amp;" presentes","")</f>
        <v/>
      </c>
      <c r="L7" s="13" t="n">
        <v>522</v>
      </c>
      <c r="M7" s="12" t="n">
        <v>462</v>
      </c>
      <c r="N7" s="12" t="n">
        <v>328</v>
      </c>
      <c r="O7" s="11">
        <f>IF(N7&gt;=$N$34,"Alto",IF(N7&gt;=$N$35,"Médio","Baixo"))</f>
        <v/>
      </c>
      <c r="P7" s="12" t="n">
        <v>462</v>
      </c>
      <c r="Q7" s="12" t="n">
        <v>203</v>
      </c>
      <c r="R7" s="37">
        <f>P7-Q7</f>
        <v/>
      </c>
      <c r="S7" s="38">
        <f>Q7/P7</f>
        <v/>
      </c>
      <c r="T7" s="39">
        <f>Q7-N7</f>
        <v/>
      </c>
      <c r="U7" s="40">
        <f>Q7/N7-1</f>
        <v/>
      </c>
      <c r="V7" s="41">
        <f>RANK(Q7,$Q$2:$Q$29)+COUNTIF($Q$2:Q7,Q7)-1</f>
        <v/>
      </c>
      <c r="W7" s="11">
        <f>IF(Q7&gt;=$W$34,"Alto",IF(Q7&gt;=$W$35,"Médio","Baixo"))</f>
        <v/>
      </c>
    </row>
    <row r="8">
      <c r="A8" s="15" t="n">
        <v>3054</v>
      </c>
      <c r="B8" s="11">
        <f>COUNTIFS(Mesarios!$A$2:$A$112,$A8)</f>
        <v/>
      </c>
      <c r="C8" s="11">
        <f>IF(COUNTIFS(Mesarios!$A$2:$A$112,$A8,Mesarios!$B$2:$B$112,C$1)&gt;0,"✓","VAGO")</f>
        <v/>
      </c>
      <c r="D8" s="11">
        <f>IF(COUNTIFS(Mesarios!$A$2:$A$112,$A8,Mesarios!$B$2:$B$112,D$1)&gt;0,"✓","VAGO")</f>
        <v/>
      </c>
      <c r="E8" s="11">
        <f>IF(COUNTIFS(Mesarios!$A$2:$A$112,$A8,Mesarios!$B$2:$B$112,E$1)&gt;0,"✓","VAGO")</f>
        <v/>
      </c>
      <c r="F8" s="11">
        <f>IF(COUNTIFS(Mesarios!$A$2:$A$112,$A8,Mesarios!$B$2:$B$112,F$1)&gt;0,"✓","VAGO")</f>
        <v/>
      </c>
      <c r="G8" s="11">
        <f>COUNTIFS(Mesarios!$A$2:$A$112,$A8,Mesarios!$E$2:$E$112,"SIM")</f>
        <v/>
      </c>
      <c r="H8" s="11">
        <f>COUNTIFS(Mesarios!$A$2:$A$112,$A8,Mesarios!$E$2:$E$112,"NAO")</f>
        <v/>
      </c>
      <c r="I8" s="11">
        <f>COUNTIFS(Mesarios!$A$2:$A$112,$A8,Mesarios!$E$2:$E$112,"0006/2026")+COUNTIFS(Mesarios!$A$2:$A$112,$A8,Mesarios!$E$2:$E$112,"-")</f>
        <v/>
      </c>
      <c r="J8" s="11">
        <f>COUNTIF(C8:F8,"VAGO")</f>
        <v/>
      </c>
      <c r="K8" s="14">
        <f>IF(B8&lt;4,"Mesa com "&amp;B8&amp;" designados","")&amp;IF(AND(B8&lt;4,G8&lt;3)," · ","")&amp;IF(G8&lt;3,"Só "&amp;G8&amp;" presentes","")</f>
        <v/>
      </c>
      <c r="L8" s="13" t="n">
        <v>1099</v>
      </c>
      <c r="M8" s="12" t="n">
        <v>454</v>
      </c>
      <c r="N8" s="12" t="n">
        <v>325</v>
      </c>
      <c r="O8" s="11">
        <f>IF(N8&gt;=$N$34,"Alto",IF(N8&gt;=$N$35,"Médio","Baixo"))</f>
        <v/>
      </c>
      <c r="P8" s="12" t="n">
        <v>452</v>
      </c>
      <c r="Q8" s="12" t="n">
        <v>256</v>
      </c>
      <c r="R8" s="37">
        <f>P8-Q8</f>
        <v/>
      </c>
      <c r="S8" s="38">
        <f>Q8/P8</f>
        <v/>
      </c>
      <c r="T8" s="39">
        <f>Q8-N8</f>
        <v/>
      </c>
      <c r="U8" s="40">
        <f>Q8/N8-1</f>
        <v/>
      </c>
      <c r="V8" s="41">
        <f>RANK(Q8,$Q$2:$Q$29)+COUNTIF($Q$2:Q8,Q8)-1</f>
        <v/>
      </c>
      <c r="W8" s="11">
        <f>IF(Q8&gt;=$W$34,"Alto",IF(Q8&gt;=$W$35,"Médio","Baixo"))</f>
        <v/>
      </c>
    </row>
    <row r="9">
      <c r="A9" s="15" t="n">
        <v>3078</v>
      </c>
      <c r="B9" s="11">
        <f>COUNTIFS(Mesarios!$A$2:$A$112,$A9)</f>
        <v/>
      </c>
      <c r="C9" s="11">
        <f>IF(COUNTIFS(Mesarios!$A$2:$A$112,$A9,Mesarios!$B$2:$B$112,C$1)&gt;0,"✓","VAGO")</f>
        <v/>
      </c>
      <c r="D9" s="11">
        <f>IF(COUNTIFS(Mesarios!$A$2:$A$112,$A9,Mesarios!$B$2:$B$112,D$1)&gt;0,"✓","VAGO")</f>
        <v/>
      </c>
      <c r="E9" s="11">
        <f>IF(COUNTIFS(Mesarios!$A$2:$A$112,$A9,Mesarios!$B$2:$B$112,E$1)&gt;0,"✓","VAGO")</f>
        <v/>
      </c>
      <c r="F9" s="11">
        <f>IF(COUNTIFS(Mesarios!$A$2:$A$112,$A9,Mesarios!$B$2:$B$112,F$1)&gt;0,"✓","VAGO")</f>
        <v/>
      </c>
      <c r="G9" s="11">
        <f>COUNTIFS(Mesarios!$A$2:$A$112,$A9,Mesarios!$E$2:$E$112,"SIM")</f>
        <v/>
      </c>
      <c r="H9" s="11">
        <f>COUNTIFS(Mesarios!$A$2:$A$112,$A9,Mesarios!$E$2:$E$112,"NAO")</f>
        <v/>
      </c>
      <c r="I9" s="11">
        <f>COUNTIFS(Mesarios!$A$2:$A$112,$A9,Mesarios!$E$2:$E$112,"0006/2026")+COUNTIFS(Mesarios!$A$2:$A$112,$A9,Mesarios!$E$2:$E$112,"-")</f>
        <v/>
      </c>
      <c r="J9" s="11">
        <f>COUNTIF(C9:F9,"VAGO")</f>
        <v/>
      </c>
      <c r="K9" s="14">
        <f>IF(B9&lt;4,"Mesa com "&amp;B9&amp;" designados","")&amp;IF(AND(B9&lt;4,G9&lt;3)," · ","")&amp;IF(G9&lt;3,"Só "&amp;G9&amp;" presentes","")</f>
        <v/>
      </c>
      <c r="L9" s="13" t="n">
        <v>2847</v>
      </c>
      <c r="M9" s="12" t="n">
        <v>429</v>
      </c>
      <c r="N9" s="12" t="n">
        <v>311</v>
      </c>
      <c r="O9" s="11">
        <f>IF(N9&gt;=$N$34,"Alto",IF(N9&gt;=$N$35,"Médio","Baixo"))</f>
        <v/>
      </c>
      <c r="P9" s="12" t="n">
        <v>427</v>
      </c>
      <c r="Q9" s="12" t="n">
        <v>259</v>
      </c>
      <c r="R9" s="37">
        <f>P9-Q9</f>
        <v/>
      </c>
      <c r="S9" s="38">
        <f>Q9/P9</f>
        <v/>
      </c>
      <c r="T9" s="39">
        <f>Q9-N9</f>
        <v/>
      </c>
      <c r="U9" s="40">
        <f>Q9/N9-1</f>
        <v/>
      </c>
      <c r="V9" s="41">
        <f>RANK(Q9,$Q$2:$Q$29)+COUNTIF($Q$2:Q9,Q9)-1</f>
        <v/>
      </c>
      <c r="W9" s="11">
        <f>IF(Q9&gt;=$W$34,"Alto",IF(Q9&gt;=$W$35,"Médio","Baixo"))</f>
        <v/>
      </c>
    </row>
    <row r="10">
      <c r="A10" s="15" t="n">
        <v>3108</v>
      </c>
      <c r="B10" s="11">
        <f>COUNTIFS(Mesarios!$A$2:$A$112,$A10)</f>
        <v/>
      </c>
      <c r="C10" s="11">
        <f>IF(COUNTIFS(Mesarios!$A$2:$A$112,$A10,Mesarios!$B$2:$B$112,C$1)&gt;0,"✓","VAGO")</f>
        <v/>
      </c>
      <c r="D10" s="11">
        <f>IF(COUNTIFS(Mesarios!$A$2:$A$112,$A10,Mesarios!$B$2:$B$112,D$1)&gt;0,"✓","VAGO")</f>
        <v/>
      </c>
      <c r="E10" s="11">
        <f>IF(COUNTIFS(Mesarios!$A$2:$A$112,$A10,Mesarios!$B$2:$B$112,E$1)&gt;0,"✓","VAGO")</f>
        <v/>
      </c>
      <c r="F10" s="11">
        <f>IF(COUNTIFS(Mesarios!$A$2:$A$112,$A10,Mesarios!$B$2:$B$112,F$1)&gt;0,"✓","VAGO")</f>
        <v/>
      </c>
      <c r="G10" s="11">
        <f>COUNTIFS(Mesarios!$A$2:$A$112,$A10,Mesarios!$E$2:$E$112,"SIM")</f>
        <v/>
      </c>
      <c r="H10" s="11">
        <f>COUNTIFS(Mesarios!$A$2:$A$112,$A10,Mesarios!$E$2:$E$112,"NAO")</f>
        <v/>
      </c>
      <c r="I10" s="11">
        <f>COUNTIFS(Mesarios!$A$2:$A$112,$A10,Mesarios!$E$2:$E$112,"0006/2026")+COUNTIFS(Mesarios!$A$2:$A$112,$A10,Mesarios!$E$2:$E$112,"-")</f>
        <v/>
      </c>
      <c r="J10" s="11">
        <f>COUNTIF(C10:F10,"VAGO")</f>
        <v/>
      </c>
      <c r="K10" s="14">
        <f>IF(B10&lt;4,"Mesa com "&amp;B10&amp;" designados","")&amp;IF(AND(B10&lt;4,G10&lt;3)," · ","")&amp;IF(G10&lt;3,"Só "&amp;G10&amp;" presentes","")</f>
        <v/>
      </c>
      <c r="L10" s="13" t="n">
        <v>3422</v>
      </c>
      <c r="M10" s="12" t="n">
        <v>756</v>
      </c>
      <c r="N10" s="12" t="n">
        <v>467</v>
      </c>
      <c r="O10" s="11">
        <f>IF(N10&gt;=$N$34,"Alto",IF(N10&gt;=$N$35,"Médio","Baixo"))</f>
        <v/>
      </c>
      <c r="P10" s="12" t="n">
        <v>752</v>
      </c>
      <c r="Q10" s="12" t="n">
        <v>320</v>
      </c>
      <c r="R10" s="37">
        <f>P10-Q10</f>
        <v/>
      </c>
      <c r="S10" s="38">
        <f>Q10/P10</f>
        <v/>
      </c>
      <c r="T10" s="39">
        <f>Q10-N10</f>
        <v/>
      </c>
      <c r="U10" s="40">
        <f>Q10/N10-1</f>
        <v/>
      </c>
      <c r="V10" s="41">
        <f>RANK(Q10,$Q$2:$Q$29)+COUNTIF($Q$2:Q10,Q10)-1</f>
        <v/>
      </c>
      <c r="W10" s="11">
        <f>IF(Q10&gt;=$W$34,"Alto",IF(Q10&gt;=$W$35,"Médio","Baixo"))</f>
        <v/>
      </c>
    </row>
    <row r="11">
      <c r="A11" s="15" t="n">
        <v>3142</v>
      </c>
      <c r="B11" s="11">
        <f>COUNTIFS(Mesarios!$A$2:$A$112,$A11)</f>
        <v/>
      </c>
      <c r="C11" s="11">
        <f>IF(COUNTIFS(Mesarios!$A$2:$A$112,$A11,Mesarios!$B$2:$B$112,C$1)&gt;0,"✓","VAGO")</f>
        <v/>
      </c>
      <c r="D11" s="11">
        <f>IF(COUNTIFS(Mesarios!$A$2:$A$112,$A11,Mesarios!$B$2:$B$112,D$1)&gt;0,"✓","VAGO")</f>
        <v/>
      </c>
      <c r="E11" s="11">
        <f>IF(COUNTIFS(Mesarios!$A$2:$A$112,$A11,Mesarios!$B$2:$B$112,E$1)&gt;0,"✓","VAGO")</f>
        <v/>
      </c>
      <c r="F11" s="11">
        <f>IF(COUNTIFS(Mesarios!$A$2:$A$112,$A11,Mesarios!$B$2:$B$112,F$1)&gt;0,"✓","VAGO")</f>
        <v/>
      </c>
      <c r="G11" s="11">
        <f>COUNTIFS(Mesarios!$A$2:$A$112,$A11,Mesarios!$E$2:$E$112,"SIM")</f>
        <v/>
      </c>
      <c r="H11" s="11">
        <f>COUNTIFS(Mesarios!$A$2:$A$112,$A11,Mesarios!$E$2:$E$112,"NAO")</f>
        <v/>
      </c>
      <c r="I11" s="11">
        <f>COUNTIFS(Mesarios!$A$2:$A$112,$A11,Mesarios!$E$2:$E$112,"0006/2026")+COUNTIFS(Mesarios!$A$2:$A$112,$A11,Mesarios!$E$2:$E$112,"-")</f>
        <v/>
      </c>
      <c r="J11" s="11">
        <f>COUNTIF(C11:F11,"VAGO")</f>
        <v/>
      </c>
      <c r="K11" s="14">
        <f>IF(B11&lt;4,"Mesa com "&amp;B11&amp;" designados","")&amp;IF(AND(B11&lt;4,G11&lt;3)," · ","")&amp;IF(G11&lt;3,"Só "&amp;G11&amp;" presentes","")</f>
        <v/>
      </c>
      <c r="L11" s="13" t="n">
        <v>1278</v>
      </c>
      <c r="M11" s="12" t="n">
        <v>793</v>
      </c>
      <c r="N11" s="12" t="n">
        <v>466</v>
      </c>
      <c r="O11" s="11">
        <f>IF(N11&gt;=$N$34,"Alto",IF(N11&gt;=$N$35,"Médio","Baixo"))</f>
        <v/>
      </c>
      <c r="P11" s="12" t="n">
        <v>787</v>
      </c>
      <c r="Q11" s="12" t="n">
        <v>318</v>
      </c>
      <c r="R11" s="37">
        <f>P11-Q11</f>
        <v/>
      </c>
      <c r="S11" s="38">
        <f>Q11/P11</f>
        <v/>
      </c>
      <c r="T11" s="39">
        <f>Q11-N11</f>
        <v/>
      </c>
      <c r="U11" s="40">
        <f>Q11/N11-1</f>
        <v/>
      </c>
      <c r="V11" s="41">
        <f>RANK(Q11,$Q$2:$Q$29)+COUNTIF($Q$2:Q11,Q11)-1</f>
        <v/>
      </c>
      <c r="W11" s="11">
        <f>IF(Q11&gt;=$W$34,"Alto",IF(Q11&gt;=$W$35,"Médio","Baixo"))</f>
        <v/>
      </c>
    </row>
    <row r="12">
      <c r="A12" s="15" t="n">
        <v>3161</v>
      </c>
      <c r="B12" s="11">
        <f>COUNTIFS(Mesarios!$A$2:$A$112,$A12)</f>
        <v/>
      </c>
      <c r="C12" s="11">
        <f>IF(COUNTIFS(Mesarios!$A$2:$A$112,$A12,Mesarios!$B$2:$B$112,C$1)&gt;0,"✓","VAGO")</f>
        <v/>
      </c>
      <c r="D12" s="11">
        <f>IF(COUNTIFS(Mesarios!$A$2:$A$112,$A12,Mesarios!$B$2:$B$112,D$1)&gt;0,"✓","VAGO")</f>
        <v/>
      </c>
      <c r="E12" s="11">
        <f>IF(COUNTIFS(Mesarios!$A$2:$A$112,$A12,Mesarios!$B$2:$B$112,E$1)&gt;0,"✓","VAGO")</f>
        <v/>
      </c>
      <c r="F12" s="11">
        <f>IF(COUNTIFS(Mesarios!$A$2:$A$112,$A12,Mesarios!$B$2:$B$112,F$1)&gt;0,"✓","VAGO")</f>
        <v/>
      </c>
      <c r="G12" s="11">
        <f>COUNTIFS(Mesarios!$A$2:$A$112,$A12,Mesarios!$E$2:$E$112,"SIM")</f>
        <v/>
      </c>
      <c r="H12" s="11">
        <f>COUNTIFS(Mesarios!$A$2:$A$112,$A12,Mesarios!$E$2:$E$112,"NAO")</f>
        <v/>
      </c>
      <c r="I12" s="11">
        <f>COUNTIFS(Mesarios!$A$2:$A$112,$A12,Mesarios!$E$2:$E$112,"0006/2026")+COUNTIFS(Mesarios!$A$2:$A$112,$A12,Mesarios!$E$2:$E$112,"-")</f>
        <v/>
      </c>
      <c r="J12" s="11">
        <f>COUNTIF(C12:F12,"VAGO")</f>
        <v/>
      </c>
      <c r="K12" s="14">
        <f>IF(B12&lt;4,"Mesa com "&amp;B12&amp;" designados","")&amp;IF(AND(B12&lt;4,G12&lt;3)," · ","")&amp;IF(G12&lt;3,"Só "&amp;G12&amp;" presentes","")</f>
        <v/>
      </c>
      <c r="L12" s="13" t="n">
        <v>3307</v>
      </c>
      <c r="M12" s="12" t="n">
        <v>791</v>
      </c>
      <c r="N12" s="12" t="n">
        <v>504</v>
      </c>
      <c r="O12" s="11">
        <f>IF(N12&gt;=$N$34,"Alto",IF(N12&gt;=$N$35,"Médio","Baixo"))</f>
        <v/>
      </c>
      <c r="P12" s="12" t="n">
        <v>787</v>
      </c>
      <c r="Q12" s="12" t="n">
        <v>328</v>
      </c>
      <c r="R12" s="37">
        <f>P12-Q12</f>
        <v/>
      </c>
      <c r="S12" s="38">
        <f>Q12/P12</f>
        <v/>
      </c>
      <c r="T12" s="39">
        <f>Q12-N12</f>
        <v/>
      </c>
      <c r="U12" s="40">
        <f>Q12/N12-1</f>
        <v/>
      </c>
      <c r="V12" s="41">
        <f>RANK(Q12,$Q$2:$Q$29)+COUNTIF($Q$2:Q12,Q12)-1</f>
        <v/>
      </c>
      <c r="W12" s="11">
        <f>IF(Q12&gt;=$W$34,"Alto",IF(Q12&gt;=$W$35,"Médio","Baixo"))</f>
        <v/>
      </c>
    </row>
    <row r="13">
      <c r="A13" s="15" t="n">
        <v>3179</v>
      </c>
      <c r="B13" s="11">
        <f>COUNTIFS(Mesarios!$A$2:$A$112,$A13)</f>
        <v/>
      </c>
      <c r="C13" s="11">
        <f>IF(COUNTIFS(Mesarios!$A$2:$A$112,$A13,Mesarios!$B$2:$B$112,C$1)&gt;0,"✓","VAGO")</f>
        <v/>
      </c>
      <c r="D13" s="11">
        <f>IF(COUNTIFS(Mesarios!$A$2:$A$112,$A13,Mesarios!$B$2:$B$112,D$1)&gt;0,"✓","VAGO")</f>
        <v/>
      </c>
      <c r="E13" s="11">
        <f>IF(COUNTIFS(Mesarios!$A$2:$A$112,$A13,Mesarios!$B$2:$B$112,E$1)&gt;0,"✓","VAGO")</f>
        <v/>
      </c>
      <c r="F13" s="11">
        <f>IF(COUNTIFS(Mesarios!$A$2:$A$112,$A13,Mesarios!$B$2:$B$112,F$1)&gt;0,"✓","VAGO")</f>
        <v/>
      </c>
      <c r="G13" s="11">
        <f>COUNTIFS(Mesarios!$A$2:$A$112,$A13,Mesarios!$E$2:$E$112,"SIM")</f>
        <v/>
      </c>
      <c r="H13" s="11">
        <f>COUNTIFS(Mesarios!$A$2:$A$112,$A13,Mesarios!$E$2:$E$112,"NAO")</f>
        <v/>
      </c>
      <c r="I13" s="11">
        <f>COUNTIFS(Mesarios!$A$2:$A$112,$A13,Mesarios!$E$2:$E$112,"0006/2026")+COUNTIFS(Mesarios!$A$2:$A$112,$A13,Mesarios!$E$2:$E$112,"-")</f>
        <v/>
      </c>
      <c r="J13" s="11">
        <f>COUNTIF(C13:F13,"VAGO")</f>
        <v/>
      </c>
      <c r="K13" s="14">
        <f>IF(B13&lt;4,"Mesa com "&amp;B13&amp;" designados","")&amp;IF(AND(B13&lt;4,G13&lt;3)," · ","")&amp;IF(G13&lt;3,"Só "&amp;G13&amp;" presentes","")</f>
        <v/>
      </c>
      <c r="L13" s="13" t="n">
        <v>530</v>
      </c>
      <c r="M13" s="12" t="n">
        <v>676</v>
      </c>
      <c r="N13" s="12" t="n">
        <v>423</v>
      </c>
      <c r="O13" s="11">
        <f>IF(N13&gt;=$N$34,"Alto",IF(N13&gt;=$N$35,"Médio","Baixo"))</f>
        <v/>
      </c>
      <c r="P13" s="12" t="n">
        <v>670</v>
      </c>
      <c r="Q13" s="12" t="n">
        <v>349</v>
      </c>
      <c r="R13" s="37">
        <f>P13-Q13</f>
        <v/>
      </c>
      <c r="S13" s="38">
        <f>Q13/P13</f>
        <v/>
      </c>
      <c r="T13" s="39">
        <f>Q13-N13</f>
        <v/>
      </c>
      <c r="U13" s="40">
        <f>Q13/N13-1</f>
        <v/>
      </c>
      <c r="V13" s="41">
        <f>RANK(Q13,$Q$2:$Q$29)+COUNTIF($Q$2:Q13,Q13)-1</f>
        <v/>
      </c>
      <c r="W13" s="11">
        <f>IF(Q13&gt;=$W$34,"Alto",IF(Q13&gt;=$W$35,"Médio","Baixo"))</f>
        <v/>
      </c>
    </row>
    <row r="14">
      <c r="A14" s="15" t="n">
        <v>3216</v>
      </c>
      <c r="B14" s="11">
        <f>COUNTIFS(Mesarios!$A$2:$A$112,$A14)</f>
        <v/>
      </c>
      <c r="C14" s="11">
        <f>IF(COUNTIFS(Mesarios!$A$2:$A$112,$A14,Mesarios!$B$2:$B$112,C$1)&gt;0,"✓","VAGO")</f>
        <v/>
      </c>
      <c r="D14" s="11">
        <f>IF(COUNTIFS(Mesarios!$A$2:$A$112,$A14,Mesarios!$B$2:$B$112,D$1)&gt;0,"✓","VAGO")</f>
        <v/>
      </c>
      <c r="E14" s="11">
        <f>IF(COUNTIFS(Mesarios!$A$2:$A$112,$A14,Mesarios!$B$2:$B$112,E$1)&gt;0,"✓","VAGO")</f>
        <v/>
      </c>
      <c r="F14" s="11">
        <f>IF(COUNTIFS(Mesarios!$A$2:$A$112,$A14,Mesarios!$B$2:$B$112,F$1)&gt;0,"✓","VAGO")</f>
        <v/>
      </c>
      <c r="G14" s="11">
        <f>COUNTIFS(Mesarios!$A$2:$A$112,$A14,Mesarios!$E$2:$E$112,"SIM")</f>
        <v/>
      </c>
      <c r="H14" s="11">
        <f>COUNTIFS(Mesarios!$A$2:$A$112,$A14,Mesarios!$E$2:$E$112,"NAO")</f>
        <v/>
      </c>
      <c r="I14" s="11">
        <f>COUNTIFS(Mesarios!$A$2:$A$112,$A14,Mesarios!$E$2:$E$112,"0006/2026")+COUNTIFS(Mesarios!$A$2:$A$112,$A14,Mesarios!$E$2:$E$112,"-")</f>
        <v/>
      </c>
      <c r="J14" s="11">
        <f>COUNTIF(C14:F14,"VAGO")</f>
        <v/>
      </c>
      <c r="K14" s="14">
        <f>IF(B14&lt;4,"Mesa com "&amp;B14&amp;" designados","")&amp;IF(AND(B14&lt;4,G14&lt;3)," · ","")&amp;IF(G14&lt;3,"Só "&amp;G14&amp;" presentes","")</f>
        <v/>
      </c>
      <c r="L14" s="13" t="n">
        <v>527</v>
      </c>
      <c r="M14" s="12" t="n">
        <v>571</v>
      </c>
      <c r="N14" s="12" t="n">
        <v>407</v>
      </c>
      <c r="O14" s="11">
        <f>IF(N14&gt;=$N$34,"Alto",IF(N14&gt;=$N$35,"Médio","Baixo"))</f>
        <v/>
      </c>
      <c r="P14" s="12" t="n">
        <v>568</v>
      </c>
      <c r="Q14" s="12" t="n">
        <v>278</v>
      </c>
      <c r="R14" s="37">
        <f>P14-Q14</f>
        <v/>
      </c>
      <c r="S14" s="38">
        <f>Q14/P14</f>
        <v/>
      </c>
      <c r="T14" s="39">
        <f>Q14-N14</f>
        <v/>
      </c>
      <c r="U14" s="40">
        <f>Q14/N14-1</f>
        <v/>
      </c>
      <c r="V14" s="41">
        <f>RANK(Q14,$Q$2:$Q$29)+COUNTIF($Q$2:Q14,Q14)-1</f>
        <v/>
      </c>
      <c r="W14" s="11">
        <f>IF(Q14&gt;=$W$34,"Alto",IF(Q14&gt;=$W$35,"Médio","Baixo"))</f>
        <v/>
      </c>
    </row>
    <row r="15">
      <c r="A15" s="15" t="n">
        <v>3229</v>
      </c>
      <c r="B15" s="11">
        <f>COUNTIFS(Mesarios!$A$2:$A$112,$A15)</f>
        <v/>
      </c>
      <c r="C15" s="11">
        <f>IF(COUNTIFS(Mesarios!$A$2:$A$112,$A15,Mesarios!$B$2:$B$112,C$1)&gt;0,"✓","VAGO")</f>
        <v/>
      </c>
      <c r="D15" s="11">
        <f>IF(COUNTIFS(Mesarios!$A$2:$A$112,$A15,Mesarios!$B$2:$B$112,D$1)&gt;0,"✓","VAGO")</f>
        <v/>
      </c>
      <c r="E15" s="11">
        <f>IF(COUNTIFS(Mesarios!$A$2:$A$112,$A15,Mesarios!$B$2:$B$112,E$1)&gt;0,"✓","VAGO")</f>
        <v/>
      </c>
      <c r="F15" s="11">
        <f>IF(COUNTIFS(Mesarios!$A$2:$A$112,$A15,Mesarios!$B$2:$B$112,F$1)&gt;0,"✓","VAGO")</f>
        <v/>
      </c>
      <c r="G15" s="11">
        <f>COUNTIFS(Mesarios!$A$2:$A$112,$A15,Mesarios!$E$2:$E$112,"SIM")</f>
        <v/>
      </c>
      <c r="H15" s="11">
        <f>COUNTIFS(Mesarios!$A$2:$A$112,$A15,Mesarios!$E$2:$E$112,"NAO")</f>
        <v/>
      </c>
      <c r="I15" s="11">
        <f>COUNTIFS(Mesarios!$A$2:$A$112,$A15,Mesarios!$E$2:$E$112,"0006/2026")+COUNTIFS(Mesarios!$A$2:$A$112,$A15,Mesarios!$E$2:$E$112,"-")</f>
        <v/>
      </c>
      <c r="J15" s="11">
        <f>COUNTIF(C15:F15,"VAGO")</f>
        <v/>
      </c>
      <c r="K15" s="14">
        <f>IF(B15&lt;4,"Mesa com "&amp;B15&amp;" designados","")&amp;IF(AND(B15&lt;4,G15&lt;3)," · ","")&amp;IF(G15&lt;3,"Só "&amp;G15&amp;" presentes","")</f>
        <v/>
      </c>
      <c r="L15" s="13" t="n">
        <v>3821</v>
      </c>
      <c r="M15" s="12" t="n">
        <v>606</v>
      </c>
      <c r="N15" s="12" t="n">
        <v>405</v>
      </c>
      <c r="O15" s="11">
        <f>IF(N15&gt;=$N$34,"Alto",IF(N15&gt;=$N$35,"Médio","Baixo"))</f>
        <v/>
      </c>
      <c r="P15" s="12" t="n">
        <v>601</v>
      </c>
      <c r="Q15" s="12" t="n">
        <v>318</v>
      </c>
      <c r="R15" s="37">
        <f>P15-Q15</f>
        <v/>
      </c>
      <c r="S15" s="38">
        <f>Q15/P15</f>
        <v/>
      </c>
      <c r="T15" s="39">
        <f>Q15-N15</f>
        <v/>
      </c>
      <c r="U15" s="40">
        <f>Q15/N15-1</f>
        <v/>
      </c>
      <c r="V15" s="41">
        <f>RANK(Q15,$Q$2:$Q$29)+COUNTIF($Q$2:Q15,Q15)-1</f>
        <v/>
      </c>
      <c r="W15" s="11">
        <f>IF(Q15&gt;=$W$34,"Alto",IF(Q15&gt;=$W$35,"Médio","Baixo"))</f>
        <v/>
      </c>
    </row>
    <row r="16">
      <c r="A16" s="15" t="n">
        <v>3245</v>
      </c>
      <c r="B16" s="11">
        <f>COUNTIFS(Mesarios!$A$2:$A$112,$A16)</f>
        <v/>
      </c>
      <c r="C16" s="11">
        <f>IF(COUNTIFS(Mesarios!$A$2:$A$112,$A16,Mesarios!$B$2:$B$112,C$1)&gt;0,"✓","VAGO")</f>
        <v/>
      </c>
      <c r="D16" s="11">
        <f>IF(COUNTIFS(Mesarios!$A$2:$A$112,$A16,Mesarios!$B$2:$B$112,D$1)&gt;0,"✓","VAGO")</f>
        <v/>
      </c>
      <c r="E16" s="11">
        <f>IF(COUNTIFS(Mesarios!$A$2:$A$112,$A16,Mesarios!$B$2:$B$112,E$1)&gt;0,"✓","VAGO")</f>
        <v/>
      </c>
      <c r="F16" s="11">
        <f>IF(COUNTIFS(Mesarios!$A$2:$A$112,$A16,Mesarios!$B$2:$B$112,F$1)&gt;0,"✓","VAGO")</f>
        <v/>
      </c>
      <c r="G16" s="11">
        <f>COUNTIFS(Mesarios!$A$2:$A$112,$A16,Mesarios!$E$2:$E$112,"SIM")</f>
        <v/>
      </c>
      <c r="H16" s="11">
        <f>COUNTIFS(Mesarios!$A$2:$A$112,$A16,Mesarios!$E$2:$E$112,"NAO")</f>
        <v/>
      </c>
      <c r="I16" s="11">
        <f>COUNTIFS(Mesarios!$A$2:$A$112,$A16,Mesarios!$E$2:$E$112,"0006/2026")+COUNTIFS(Mesarios!$A$2:$A$112,$A16,Mesarios!$E$2:$E$112,"-")</f>
        <v/>
      </c>
      <c r="J16" s="11">
        <f>COUNTIF(C16:F16,"VAGO")</f>
        <v/>
      </c>
      <c r="K16" s="14">
        <f>IF(B16&lt;4,"Mesa com "&amp;B16&amp;" designados","")&amp;IF(AND(B16&lt;4,G16&lt;3)," · ","")&amp;IF(G16&lt;3,"Só "&amp;G16&amp;" presentes","")</f>
        <v/>
      </c>
      <c r="L16" s="13" t="n">
        <v>519</v>
      </c>
      <c r="M16" s="12" t="n">
        <v>781</v>
      </c>
      <c r="N16" s="12" t="n">
        <v>498</v>
      </c>
      <c r="O16" s="11">
        <f>IF(N16&gt;=$N$34,"Alto",IF(N16&gt;=$N$35,"Médio","Baixo"))</f>
        <v/>
      </c>
      <c r="P16" s="12" t="n">
        <v>778</v>
      </c>
      <c r="Q16" s="12" t="n">
        <v>322</v>
      </c>
      <c r="R16" s="37">
        <f>P16-Q16</f>
        <v/>
      </c>
      <c r="S16" s="38">
        <f>Q16/P16</f>
        <v/>
      </c>
      <c r="T16" s="39">
        <f>Q16-N16</f>
        <v/>
      </c>
      <c r="U16" s="40">
        <f>Q16/N16-1</f>
        <v/>
      </c>
      <c r="V16" s="41">
        <f>RANK(Q16,$Q$2:$Q$29)+COUNTIF($Q$2:Q16,Q16)-1</f>
        <v/>
      </c>
      <c r="W16" s="11">
        <f>IF(Q16&gt;=$W$34,"Alto",IF(Q16&gt;=$W$35,"Médio","Baixo"))</f>
        <v/>
      </c>
    </row>
    <row r="17">
      <c r="A17" s="15" t="n">
        <v>3302</v>
      </c>
      <c r="B17" s="11">
        <f>COUNTIFS(Mesarios!$A$2:$A$112,$A17)</f>
        <v/>
      </c>
      <c r="C17" s="11">
        <f>IF(COUNTIFS(Mesarios!$A$2:$A$112,$A17,Mesarios!$B$2:$B$112,C$1)&gt;0,"✓","VAGO")</f>
        <v/>
      </c>
      <c r="D17" s="11">
        <f>IF(COUNTIFS(Mesarios!$A$2:$A$112,$A17,Mesarios!$B$2:$B$112,D$1)&gt;0,"✓","VAGO")</f>
        <v/>
      </c>
      <c r="E17" s="11">
        <f>IF(COUNTIFS(Mesarios!$A$2:$A$112,$A17,Mesarios!$B$2:$B$112,E$1)&gt;0,"✓","VAGO")</f>
        <v/>
      </c>
      <c r="F17" s="11">
        <f>IF(COUNTIFS(Mesarios!$A$2:$A$112,$A17,Mesarios!$B$2:$B$112,F$1)&gt;0,"✓","VAGO")</f>
        <v/>
      </c>
      <c r="G17" s="11">
        <f>COUNTIFS(Mesarios!$A$2:$A$112,$A17,Mesarios!$E$2:$E$112,"SIM")</f>
        <v/>
      </c>
      <c r="H17" s="11">
        <f>COUNTIFS(Mesarios!$A$2:$A$112,$A17,Mesarios!$E$2:$E$112,"NAO")</f>
        <v/>
      </c>
      <c r="I17" s="11">
        <f>COUNTIFS(Mesarios!$A$2:$A$112,$A17,Mesarios!$E$2:$E$112,"0006/2026")+COUNTIFS(Mesarios!$A$2:$A$112,$A17,Mesarios!$E$2:$E$112,"-")</f>
        <v/>
      </c>
      <c r="J17" s="11">
        <f>COUNTIF(C17:F17,"VAGO")</f>
        <v/>
      </c>
      <c r="K17" s="14">
        <f>IF(B17&lt;4,"Mesa com "&amp;B17&amp;" designados","")&amp;IF(AND(B17&lt;4,G17&lt;3)," · ","")&amp;IF(G17&lt;3,"Só "&amp;G17&amp;" presentes","")</f>
        <v/>
      </c>
      <c r="L17" s="13" t="n">
        <v>3181</v>
      </c>
      <c r="M17" s="12" t="n">
        <v>771</v>
      </c>
      <c r="N17" s="12" t="n">
        <v>518</v>
      </c>
      <c r="O17" s="11">
        <f>IF(N17&gt;=$N$34,"Alto",IF(N17&gt;=$N$35,"Médio","Baixo"))</f>
        <v/>
      </c>
      <c r="P17" s="12" t="n">
        <v>763</v>
      </c>
      <c r="Q17" s="12" t="n">
        <v>373</v>
      </c>
      <c r="R17" s="37">
        <f>P17-Q17</f>
        <v/>
      </c>
      <c r="S17" s="38">
        <f>Q17/P17</f>
        <v/>
      </c>
      <c r="T17" s="39">
        <f>Q17-N17</f>
        <v/>
      </c>
      <c r="U17" s="40">
        <f>Q17/N17-1</f>
        <v/>
      </c>
      <c r="V17" s="41">
        <f>RANK(Q17,$Q$2:$Q$29)+COUNTIF($Q$2:Q17,Q17)-1</f>
        <v/>
      </c>
      <c r="W17" s="11">
        <f>IF(Q17&gt;=$W$34,"Alto",IF(Q17&gt;=$W$35,"Médio","Baixo"))</f>
        <v/>
      </c>
    </row>
    <row r="18">
      <c r="A18" s="15" t="n">
        <v>3305</v>
      </c>
      <c r="B18" s="11">
        <f>COUNTIFS(Mesarios!$A$2:$A$112,$A18)</f>
        <v/>
      </c>
      <c r="C18" s="11">
        <f>IF(COUNTIFS(Mesarios!$A$2:$A$112,$A18,Mesarios!$B$2:$B$112,C$1)&gt;0,"✓","VAGO")</f>
        <v/>
      </c>
      <c r="D18" s="11">
        <f>IF(COUNTIFS(Mesarios!$A$2:$A$112,$A18,Mesarios!$B$2:$B$112,D$1)&gt;0,"✓","VAGO")</f>
        <v/>
      </c>
      <c r="E18" s="11">
        <f>IF(COUNTIFS(Mesarios!$A$2:$A$112,$A18,Mesarios!$B$2:$B$112,E$1)&gt;0,"✓","VAGO")</f>
        <v/>
      </c>
      <c r="F18" s="11">
        <f>IF(COUNTIFS(Mesarios!$A$2:$A$112,$A18,Mesarios!$B$2:$B$112,F$1)&gt;0,"✓","VAGO")</f>
        <v/>
      </c>
      <c r="G18" s="11">
        <f>COUNTIFS(Mesarios!$A$2:$A$112,$A18,Mesarios!$E$2:$E$112,"SIM")</f>
        <v/>
      </c>
      <c r="H18" s="11">
        <f>COUNTIFS(Mesarios!$A$2:$A$112,$A18,Mesarios!$E$2:$E$112,"NAO")</f>
        <v/>
      </c>
      <c r="I18" s="11">
        <f>COUNTIFS(Mesarios!$A$2:$A$112,$A18,Mesarios!$E$2:$E$112,"0006/2026")+COUNTIFS(Mesarios!$A$2:$A$112,$A18,Mesarios!$E$2:$E$112,"-")</f>
        <v/>
      </c>
      <c r="J18" s="11">
        <f>COUNTIF(C18:F18,"VAGO")</f>
        <v/>
      </c>
      <c r="K18" s="14">
        <f>IF(B18&lt;4,"Mesa com "&amp;B18&amp;" designados","")&amp;IF(AND(B18&lt;4,G18&lt;3)," · ","")&amp;IF(G18&lt;3,"Só "&amp;G18&amp;" presentes","")</f>
        <v/>
      </c>
      <c r="L18" s="13" t="n">
        <v>521</v>
      </c>
      <c r="M18" s="12" t="n">
        <v>767</v>
      </c>
      <c r="N18" s="12" t="n">
        <v>472</v>
      </c>
      <c r="O18" s="11">
        <f>IF(N18&gt;=$N$34,"Alto",IF(N18&gt;=$N$35,"Médio","Baixo"))</f>
        <v/>
      </c>
      <c r="P18" s="12" t="n">
        <v>764</v>
      </c>
      <c r="Q18" s="12" t="n">
        <v>265</v>
      </c>
      <c r="R18" s="37">
        <f>P18-Q18</f>
        <v/>
      </c>
      <c r="S18" s="38">
        <f>Q18/P18</f>
        <v/>
      </c>
      <c r="T18" s="39">
        <f>Q18-N18</f>
        <v/>
      </c>
      <c r="U18" s="40">
        <f>Q18/N18-1</f>
        <v/>
      </c>
      <c r="V18" s="41">
        <f>RANK(Q18,$Q$2:$Q$29)+COUNTIF($Q$2:Q18,Q18)-1</f>
        <v/>
      </c>
      <c r="W18" s="11">
        <f>IF(Q18&gt;=$W$34,"Alto",IF(Q18&gt;=$W$35,"Médio","Baixo"))</f>
        <v/>
      </c>
    </row>
    <row r="19">
      <c r="A19" s="15" t="n">
        <v>3306</v>
      </c>
      <c r="B19" s="11">
        <f>COUNTIFS(Mesarios!$A$2:$A$112,$A19)</f>
        <v/>
      </c>
      <c r="C19" s="11">
        <f>IF(COUNTIFS(Mesarios!$A$2:$A$112,$A19,Mesarios!$B$2:$B$112,C$1)&gt;0,"✓","VAGO")</f>
        <v/>
      </c>
      <c r="D19" s="11">
        <f>IF(COUNTIFS(Mesarios!$A$2:$A$112,$A19,Mesarios!$B$2:$B$112,D$1)&gt;0,"✓","VAGO")</f>
        <v/>
      </c>
      <c r="E19" s="11">
        <f>IF(COUNTIFS(Mesarios!$A$2:$A$112,$A19,Mesarios!$B$2:$B$112,E$1)&gt;0,"✓","VAGO")</f>
        <v/>
      </c>
      <c r="F19" s="11">
        <f>IF(COUNTIFS(Mesarios!$A$2:$A$112,$A19,Mesarios!$B$2:$B$112,F$1)&gt;0,"✓","VAGO")</f>
        <v/>
      </c>
      <c r="G19" s="11">
        <f>COUNTIFS(Mesarios!$A$2:$A$112,$A19,Mesarios!$E$2:$E$112,"SIM")</f>
        <v/>
      </c>
      <c r="H19" s="11">
        <f>COUNTIFS(Mesarios!$A$2:$A$112,$A19,Mesarios!$E$2:$E$112,"NAO")</f>
        <v/>
      </c>
      <c r="I19" s="11">
        <f>COUNTIFS(Mesarios!$A$2:$A$112,$A19,Mesarios!$E$2:$E$112,"0006/2026")+COUNTIFS(Mesarios!$A$2:$A$112,$A19,Mesarios!$E$2:$E$112,"-")</f>
        <v/>
      </c>
      <c r="J19" s="11">
        <f>COUNTIF(C19:F19,"VAGO")</f>
        <v/>
      </c>
      <c r="K19" s="14">
        <f>IF(B19&lt;4,"Mesa com "&amp;B19&amp;" designados","")&amp;IF(AND(B19&lt;4,G19&lt;3)," · ","")&amp;IF(G19&lt;3,"Só "&amp;G19&amp;" presentes","")</f>
        <v/>
      </c>
      <c r="L19" s="13" t="n">
        <v>518</v>
      </c>
      <c r="M19" s="12" t="n">
        <v>766</v>
      </c>
      <c r="N19" s="12" t="n">
        <v>515</v>
      </c>
      <c r="O19" s="11">
        <f>IF(N19&gt;=$N$34,"Alto",IF(N19&gt;=$N$35,"Médio","Baixo"))</f>
        <v/>
      </c>
      <c r="P19" s="12" t="n">
        <v>761</v>
      </c>
      <c r="Q19" s="12" t="n">
        <v>345</v>
      </c>
      <c r="R19" s="37">
        <f>P19-Q19</f>
        <v/>
      </c>
      <c r="S19" s="38">
        <f>Q19/P19</f>
        <v/>
      </c>
      <c r="T19" s="39">
        <f>Q19-N19</f>
        <v/>
      </c>
      <c r="U19" s="40">
        <f>Q19/N19-1</f>
        <v/>
      </c>
      <c r="V19" s="41">
        <f>RANK(Q19,$Q$2:$Q$29)+COUNTIF($Q$2:Q19,Q19)-1</f>
        <v/>
      </c>
      <c r="W19" s="11">
        <f>IF(Q19&gt;=$W$34,"Alto",IF(Q19&gt;=$W$35,"Médio","Baixo"))</f>
        <v/>
      </c>
    </row>
    <row r="20">
      <c r="A20" s="15" t="n">
        <v>3308</v>
      </c>
      <c r="B20" s="11">
        <f>COUNTIFS(Mesarios!$A$2:$A$112,$A20)</f>
        <v/>
      </c>
      <c r="C20" s="11">
        <f>IF(COUNTIFS(Mesarios!$A$2:$A$112,$A20,Mesarios!$B$2:$B$112,C$1)&gt;0,"✓","VAGO")</f>
        <v/>
      </c>
      <c r="D20" s="11">
        <f>IF(COUNTIFS(Mesarios!$A$2:$A$112,$A20,Mesarios!$B$2:$B$112,D$1)&gt;0,"✓","VAGO")</f>
        <v/>
      </c>
      <c r="E20" s="11">
        <f>IF(COUNTIFS(Mesarios!$A$2:$A$112,$A20,Mesarios!$B$2:$B$112,E$1)&gt;0,"✓","VAGO")</f>
        <v/>
      </c>
      <c r="F20" s="11">
        <f>IF(COUNTIFS(Mesarios!$A$2:$A$112,$A20,Mesarios!$B$2:$B$112,F$1)&gt;0,"✓","VAGO")</f>
        <v/>
      </c>
      <c r="G20" s="11">
        <f>COUNTIFS(Mesarios!$A$2:$A$112,$A20,Mesarios!$E$2:$E$112,"SIM")</f>
        <v/>
      </c>
      <c r="H20" s="11">
        <f>COUNTIFS(Mesarios!$A$2:$A$112,$A20,Mesarios!$E$2:$E$112,"NAO")</f>
        <v/>
      </c>
      <c r="I20" s="11">
        <f>COUNTIFS(Mesarios!$A$2:$A$112,$A20,Mesarios!$E$2:$E$112,"0006/2026")+COUNTIFS(Mesarios!$A$2:$A$112,$A20,Mesarios!$E$2:$E$112,"-")</f>
        <v/>
      </c>
      <c r="J20" s="11">
        <f>COUNTIF(C20:F20,"VAGO")</f>
        <v/>
      </c>
      <c r="K20" s="14">
        <f>IF(B20&lt;4,"Mesa com "&amp;B20&amp;" designados","")&amp;IF(AND(B20&lt;4,G20&lt;3)," · ","")&amp;IF(G20&lt;3,"Só "&amp;G20&amp;" presentes","")</f>
        <v/>
      </c>
      <c r="L20" s="13" t="n"/>
      <c r="M20" s="12" t="n">
        <v>399</v>
      </c>
      <c r="N20" s="12" t="n">
        <v>295</v>
      </c>
      <c r="O20" s="11">
        <f>IF(N20&gt;=$N$34,"Alto",IF(N20&gt;=$N$35,"Médio","Baixo"))</f>
        <v/>
      </c>
      <c r="P20" s="12" t="n">
        <v>396</v>
      </c>
      <c r="Q20" s="12" t="n">
        <v>204</v>
      </c>
      <c r="R20" s="37">
        <f>P20-Q20</f>
        <v/>
      </c>
      <c r="S20" s="38">
        <f>Q20/P20</f>
        <v/>
      </c>
      <c r="T20" s="39">
        <f>Q20-N20</f>
        <v/>
      </c>
      <c r="U20" s="40">
        <f>Q20/N20-1</f>
        <v/>
      </c>
      <c r="V20" s="41">
        <f>RANK(Q20,$Q$2:$Q$29)+COUNTIF($Q$2:Q20,Q20)-1</f>
        <v/>
      </c>
      <c r="W20" s="11">
        <f>IF(Q20&gt;=$W$34,"Alto",IF(Q20&gt;=$W$35,"Médio","Baixo"))</f>
        <v/>
      </c>
    </row>
    <row r="21">
      <c r="A21" s="15" t="n">
        <v>3309</v>
      </c>
      <c r="B21" s="11">
        <f>COUNTIFS(Mesarios!$A$2:$A$112,$A21)</f>
        <v/>
      </c>
      <c r="C21" s="11">
        <f>IF(COUNTIFS(Mesarios!$A$2:$A$112,$A21,Mesarios!$B$2:$B$112,C$1)&gt;0,"✓","VAGO")</f>
        <v/>
      </c>
      <c r="D21" s="11">
        <f>IF(COUNTIFS(Mesarios!$A$2:$A$112,$A21,Mesarios!$B$2:$B$112,D$1)&gt;0,"✓","VAGO")</f>
        <v/>
      </c>
      <c r="E21" s="11">
        <f>IF(COUNTIFS(Mesarios!$A$2:$A$112,$A21,Mesarios!$B$2:$B$112,E$1)&gt;0,"✓","VAGO")</f>
        <v/>
      </c>
      <c r="F21" s="11">
        <f>IF(COUNTIFS(Mesarios!$A$2:$A$112,$A21,Mesarios!$B$2:$B$112,F$1)&gt;0,"✓","VAGO")</f>
        <v/>
      </c>
      <c r="G21" s="11">
        <f>COUNTIFS(Mesarios!$A$2:$A$112,$A21,Mesarios!$E$2:$E$112,"SIM")</f>
        <v/>
      </c>
      <c r="H21" s="11">
        <f>COUNTIFS(Mesarios!$A$2:$A$112,$A21,Mesarios!$E$2:$E$112,"NAO")</f>
        <v/>
      </c>
      <c r="I21" s="11">
        <f>COUNTIFS(Mesarios!$A$2:$A$112,$A21,Mesarios!$E$2:$E$112,"0006/2026")+COUNTIFS(Mesarios!$A$2:$A$112,$A21,Mesarios!$E$2:$E$112,"-")</f>
        <v/>
      </c>
      <c r="J21" s="11">
        <f>COUNTIF(C21:F21,"VAGO")</f>
        <v/>
      </c>
      <c r="K21" s="14">
        <f>IF(B21&lt;4,"Mesa com "&amp;B21&amp;" designados","")&amp;IF(AND(B21&lt;4,G21&lt;3)," · ","")&amp;IF(G21&lt;3,"Só "&amp;G21&amp;" presentes","")</f>
        <v/>
      </c>
      <c r="L21" s="13" t="n">
        <v>1314</v>
      </c>
      <c r="M21" s="12" t="n">
        <v>615</v>
      </c>
      <c r="N21" s="12" t="n">
        <v>395</v>
      </c>
      <c r="O21" s="11">
        <f>IF(N21&gt;=$N$34,"Alto",IF(N21&gt;=$N$35,"Médio","Baixo"))</f>
        <v/>
      </c>
      <c r="P21" s="12" t="n">
        <v>614</v>
      </c>
      <c r="Q21" s="12" t="n">
        <v>278</v>
      </c>
      <c r="R21" s="37">
        <f>P21-Q21</f>
        <v/>
      </c>
      <c r="S21" s="38">
        <f>Q21/P21</f>
        <v/>
      </c>
      <c r="T21" s="39">
        <f>Q21-N21</f>
        <v/>
      </c>
      <c r="U21" s="40">
        <f>Q21/N21-1</f>
        <v/>
      </c>
      <c r="V21" s="41">
        <f>RANK(Q21,$Q$2:$Q$29)+COUNTIF($Q$2:Q21,Q21)-1</f>
        <v/>
      </c>
      <c r="W21" s="11">
        <f>IF(Q21&gt;=$W$34,"Alto",IF(Q21&gt;=$W$35,"Médio","Baixo"))</f>
        <v/>
      </c>
    </row>
    <row r="22">
      <c r="A22" s="15" t="n">
        <v>3311</v>
      </c>
      <c r="B22" s="11">
        <f>COUNTIFS(Mesarios!$A$2:$A$112,$A22)</f>
        <v/>
      </c>
      <c r="C22" s="11">
        <f>IF(COUNTIFS(Mesarios!$A$2:$A$112,$A22,Mesarios!$B$2:$B$112,C$1)&gt;0,"✓","VAGO")</f>
        <v/>
      </c>
      <c r="D22" s="11">
        <f>IF(COUNTIFS(Mesarios!$A$2:$A$112,$A22,Mesarios!$B$2:$B$112,D$1)&gt;0,"✓","VAGO")</f>
        <v/>
      </c>
      <c r="E22" s="11">
        <f>IF(COUNTIFS(Mesarios!$A$2:$A$112,$A22,Mesarios!$B$2:$B$112,E$1)&gt;0,"✓","VAGO")</f>
        <v/>
      </c>
      <c r="F22" s="11">
        <f>IF(COUNTIFS(Mesarios!$A$2:$A$112,$A22,Mesarios!$B$2:$B$112,F$1)&gt;0,"✓","VAGO")</f>
        <v/>
      </c>
      <c r="G22" s="11">
        <f>COUNTIFS(Mesarios!$A$2:$A$112,$A22,Mesarios!$E$2:$E$112,"SIM")</f>
        <v/>
      </c>
      <c r="H22" s="11">
        <f>COUNTIFS(Mesarios!$A$2:$A$112,$A22,Mesarios!$E$2:$E$112,"NAO")</f>
        <v/>
      </c>
      <c r="I22" s="11">
        <f>COUNTIFS(Mesarios!$A$2:$A$112,$A22,Mesarios!$E$2:$E$112,"0006/2026")+COUNTIFS(Mesarios!$A$2:$A$112,$A22,Mesarios!$E$2:$E$112,"-")</f>
        <v/>
      </c>
      <c r="J22" s="11">
        <f>COUNTIF(C22:F22,"VAGO")</f>
        <v/>
      </c>
      <c r="K22" s="14">
        <f>IF(B22&lt;4,"Mesa com "&amp;B22&amp;" designados","")&amp;IF(AND(B22&lt;4,G22&lt;3)," · ","")&amp;IF(G22&lt;3,"Só "&amp;G22&amp;" presentes","")</f>
        <v/>
      </c>
      <c r="L22" s="13" t="n">
        <v>3913</v>
      </c>
      <c r="M22" s="12" t="n">
        <v>630</v>
      </c>
      <c r="N22" s="12" t="n">
        <v>466</v>
      </c>
      <c r="O22" s="11">
        <f>IF(N22&gt;=$N$34,"Alto",IF(N22&gt;=$N$35,"Médio","Baixo"))</f>
        <v/>
      </c>
      <c r="P22" s="12" t="n">
        <v>626</v>
      </c>
      <c r="Q22" s="12" t="n">
        <v>384</v>
      </c>
      <c r="R22" s="37">
        <f>P22-Q22</f>
        <v/>
      </c>
      <c r="S22" s="38">
        <f>Q22/P22</f>
        <v/>
      </c>
      <c r="T22" s="39">
        <f>Q22-N22</f>
        <v/>
      </c>
      <c r="U22" s="40">
        <f>Q22/N22-1</f>
        <v/>
      </c>
      <c r="V22" s="41">
        <f>RANK(Q22,$Q$2:$Q$29)+COUNTIF($Q$2:Q22,Q22)-1</f>
        <v/>
      </c>
      <c r="W22" s="11">
        <f>IF(Q22&gt;=$W$34,"Alto",IF(Q22&gt;=$W$35,"Médio","Baixo"))</f>
        <v/>
      </c>
    </row>
    <row r="23">
      <c r="A23" s="15" t="n">
        <v>3313</v>
      </c>
      <c r="B23" s="11">
        <f>COUNTIFS(Mesarios!$A$2:$A$112,$A23)</f>
        <v/>
      </c>
      <c r="C23" s="11">
        <f>IF(COUNTIFS(Mesarios!$A$2:$A$112,$A23,Mesarios!$B$2:$B$112,C$1)&gt;0,"✓","VAGO")</f>
        <v/>
      </c>
      <c r="D23" s="11">
        <f>IF(COUNTIFS(Mesarios!$A$2:$A$112,$A23,Mesarios!$B$2:$B$112,D$1)&gt;0,"✓","VAGO")</f>
        <v/>
      </c>
      <c r="E23" s="11">
        <f>IF(COUNTIFS(Mesarios!$A$2:$A$112,$A23,Mesarios!$B$2:$B$112,E$1)&gt;0,"✓","VAGO")</f>
        <v/>
      </c>
      <c r="F23" s="11">
        <f>IF(COUNTIFS(Mesarios!$A$2:$A$112,$A23,Mesarios!$B$2:$B$112,F$1)&gt;0,"✓","VAGO")</f>
        <v/>
      </c>
      <c r="G23" s="11">
        <f>COUNTIFS(Mesarios!$A$2:$A$112,$A23,Mesarios!$E$2:$E$112,"SIM")</f>
        <v/>
      </c>
      <c r="H23" s="11">
        <f>COUNTIFS(Mesarios!$A$2:$A$112,$A23,Mesarios!$E$2:$E$112,"NAO")</f>
        <v/>
      </c>
      <c r="I23" s="11">
        <f>COUNTIFS(Mesarios!$A$2:$A$112,$A23,Mesarios!$E$2:$E$112,"0006/2026")+COUNTIFS(Mesarios!$A$2:$A$112,$A23,Mesarios!$E$2:$E$112,"-")</f>
        <v/>
      </c>
      <c r="J23" s="11">
        <f>COUNTIF(C23:F23,"VAGO")</f>
        <v/>
      </c>
      <c r="K23" s="14">
        <f>IF(B23&lt;4,"Mesa com "&amp;B23&amp;" designados","")&amp;IF(AND(B23&lt;4,G23&lt;3)," · ","")&amp;IF(G23&lt;3,"Só "&amp;G23&amp;" presentes","")</f>
        <v/>
      </c>
      <c r="L23" s="13" t="n">
        <v>3889</v>
      </c>
      <c r="M23" s="12" t="n">
        <v>797</v>
      </c>
      <c r="N23" s="12" t="n">
        <v>590</v>
      </c>
      <c r="O23" s="11">
        <f>IF(N23&gt;=$N$34,"Alto",IF(N23&gt;=$N$35,"Médio","Baixo"))</f>
        <v/>
      </c>
      <c r="P23" s="12" t="n">
        <v>792</v>
      </c>
      <c r="Q23" s="12" t="n">
        <v>492</v>
      </c>
      <c r="R23" s="37">
        <f>P23-Q23</f>
        <v/>
      </c>
      <c r="S23" s="38">
        <f>Q23/P23</f>
        <v/>
      </c>
      <c r="T23" s="39">
        <f>Q23-N23</f>
        <v/>
      </c>
      <c r="U23" s="40">
        <f>Q23/N23-1</f>
        <v/>
      </c>
      <c r="V23" s="41">
        <f>RANK(Q23,$Q$2:$Q$29)+COUNTIF($Q$2:Q23,Q23)-1</f>
        <v/>
      </c>
      <c r="W23" s="11">
        <f>IF(Q23&gt;=$W$34,"Alto",IF(Q23&gt;=$W$35,"Médio","Baixo"))</f>
        <v/>
      </c>
    </row>
    <row r="24">
      <c r="A24" s="15" t="n">
        <v>3315</v>
      </c>
      <c r="B24" s="11">
        <f>COUNTIFS(Mesarios!$A$2:$A$112,$A24)</f>
        <v/>
      </c>
      <c r="C24" s="11">
        <f>IF(COUNTIFS(Mesarios!$A$2:$A$112,$A24,Mesarios!$B$2:$B$112,C$1)&gt;0,"✓","VAGO")</f>
        <v/>
      </c>
      <c r="D24" s="11">
        <f>IF(COUNTIFS(Mesarios!$A$2:$A$112,$A24,Mesarios!$B$2:$B$112,D$1)&gt;0,"✓","VAGO")</f>
        <v/>
      </c>
      <c r="E24" s="11">
        <f>IF(COUNTIFS(Mesarios!$A$2:$A$112,$A24,Mesarios!$B$2:$B$112,E$1)&gt;0,"✓","VAGO")</f>
        <v/>
      </c>
      <c r="F24" s="11">
        <f>IF(COUNTIFS(Mesarios!$A$2:$A$112,$A24,Mesarios!$B$2:$B$112,F$1)&gt;0,"✓","VAGO")</f>
        <v/>
      </c>
      <c r="G24" s="11">
        <f>COUNTIFS(Mesarios!$A$2:$A$112,$A24,Mesarios!$E$2:$E$112,"SIM")</f>
        <v/>
      </c>
      <c r="H24" s="11">
        <f>COUNTIFS(Mesarios!$A$2:$A$112,$A24,Mesarios!$E$2:$E$112,"NAO")</f>
        <v/>
      </c>
      <c r="I24" s="11">
        <f>COUNTIFS(Mesarios!$A$2:$A$112,$A24,Mesarios!$E$2:$E$112,"0006/2026")+COUNTIFS(Mesarios!$A$2:$A$112,$A24,Mesarios!$E$2:$E$112,"-")</f>
        <v/>
      </c>
      <c r="J24" s="11">
        <f>COUNTIF(C24:F24,"VAGO")</f>
        <v/>
      </c>
      <c r="K24" s="14">
        <f>IF(B24&lt;4,"Mesa com "&amp;B24&amp;" designados","")&amp;IF(AND(B24&lt;4,G24&lt;3)," · ","")&amp;IF(G24&lt;3,"Só "&amp;G24&amp;" presentes","")</f>
        <v/>
      </c>
      <c r="L24" s="13" t="n">
        <v>3778</v>
      </c>
      <c r="M24" s="12" t="n">
        <v>792</v>
      </c>
      <c r="N24" s="12" t="n">
        <v>586</v>
      </c>
      <c r="O24" s="11">
        <f>IF(N24&gt;=$N$34,"Alto",IF(N24&gt;=$N$35,"Médio","Baixo"))</f>
        <v/>
      </c>
      <c r="P24" s="12" t="n">
        <v>790</v>
      </c>
      <c r="Q24" s="12" t="n">
        <v>536</v>
      </c>
      <c r="R24" s="37">
        <f>P24-Q24</f>
        <v/>
      </c>
      <c r="S24" s="38">
        <f>Q24/P24</f>
        <v/>
      </c>
      <c r="T24" s="39">
        <f>Q24-N24</f>
        <v/>
      </c>
      <c r="U24" s="40">
        <f>Q24/N24-1</f>
        <v/>
      </c>
      <c r="V24" s="41">
        <f>RANK(Q24,$Q$2:$Q$29)+COUNTIF($Q$2:Q24,Q24)-1</f>
        <v/>
      </c>
      <c r="W24" s="11">
        <f>IF(Q24&gt;=$W$34,"Alto",IF(Q24&gt;=$W$35,"Médio","Baixo"))</f>
        <v/>
      </c>
    </row>
    <row r="25">
      <c r="A25" s="15" t="n">
        <v>3322</v>
      </c>
      <c r="B25" s="11">
        <f>COUNTIFS(Mesarios!$A$2:$A$112,$A25)</f>
        <v/>
      </c>
      <c r="C25" s="11">
        <f>IF(COUNTIFS(Mesarios!$A$2:$A$112,$A25,Mesarios!$B$2:$B$112,C$1)&gt;0,"✓","VAGO")</f>
        <v/>
      </c>
      <c r="D25" s="11">
        <f>IF(COUNTIFS(Mesarios!$A$2:$A$112,$A25,Mesarios!$B$2:$B$112,D$1)&gt;0,"✓","VAGO")</f>
        <v/>
      </c>
      <c r="E25" s="11">
        <f>IF(COUNTIFS(Mesarios!$A$2:$A$112,$A25,Mesarios!$B$2:$B$112,E$1)&gt;0,"✓","VAGO")</f>
        <v/>
      </c>
      <c r="F25" s="11">
        <f>IF(COUNTIFS(Mesarios!$A$2:$A$112,$A25,Mesarios!$B$2:$B$112,F$1)&gt;0,"✓","VAGO")</f>
        <v/>
      </c>
      <c r="G25" s="11">
        <f>COUNTIFS(Mesarios!$A$2:$A$112,$A25,Mesarios!$E$2:$E$112,"SIM")</f>
        <v/>
      </c>
      <c r="H25" s="11">
        <f>COUNTIFS(Mesarios!$A$2:$A$112,$A25,Mesarios!$E$2:$E$112,"NAO")</f>
        <v/>
      </c>
      <c r="I25" s="11">
        <f>COUNTIFS(Mesarios!$A$2:$A$112,$A25,Mesarios!$E$2:$E$112,"0006/2026")+COUNTIFS(Mesarios!$A$2:$A$112,$A25,Mesarios!$E$2:$E$112,"-")</f>
        <v/>
      </c>
      <c r="J25" s="11">
        <f>COUNTIF(C25:F25,"VAGO")</f>
        <v/>
      </c>
      <c r="K25" s="14">
        <f>IF(B25&lt;4,"Mesa com "&amp;B25&amp;" designados","")&amp;IF(AND(B25&lt;4,G25&lt;3)," · ","")&amp;IF(G25&lt;3,"Só "&amp;G25&amp;" presentes","")</f>
        <v/>
      </c>
      <c r="L25" s="13" t="n">
        <v>3752</v>
      </c>
      <c r="M25" s="12" t="n">
        <v>794</v>
      </c>
      <c r="N25" s="12" t="n">
        <v>588</v>
      </c>
      <c r="O25" s="11">
        <f>IF(N25&gt;=$N$34,"Alto",IF(N25&gt;=$N$35,"Médio","Baixo"))</f>
        <v/>
      </c>
      <c r="P25" s="12" t="n">
        <v>792</v>
      </c>
      <c r="Q25" s="12" t="n">
        <v>503</v>
      </c>
      <c r="R25" s="37">
        <f>P25-Q25</f>
        <v/>
      </c>
      <c r="S25" s="38">
        <f>Q25/P25</f>
        <v/>
      </c>
      <c r="T25" s="39">
        <f>Q25-N25</f>
        <v/>
      </c>
      <c r="U25" s="40">
        <f>Q25/N25-1</f>
        <v/>
      </c>
      <c r="V25" s="41">
        <f>RANK(Q25,$Q$2:$Q$29)+COUNTIF($Q$2:Q25,Q25)-1</f>
        <v/>
      </c>
      <c r="W25" s="11">
        <f>IF(Q25&gt;=$W$34,"Alto",IF(Q25&gt;=$W$35,"Médio","Baixo"))</f>
        <v/>
      </c>
    </row>
    <row r="26">
      <c r="A26" s="15" t="n">
        <v>3442</v>
      </c>
      <c r="B26" s="11">
        <f>COUNTIFS(Mesarios!$A$2:$A$112,$A26)</f>
        <v/>
      </c>
      <c r="C26" s="11">
        <f>IF(COUNTIFS(Mesarios!$A$2:$A$112,$A26,Mesarios!$B$2:$B$112,C$1)&gt;0,"✓","VAGO")</f>
        <v/>
      </c>
      <c r="D26" s="11">
        <f>IF(COUNTIFS(Mesarios!$A$2:$A$112,$A26,Mesarios!$B$2:$B$112,D$1)&gt;0,"✓","VAGO")</f>
        <v/>
      </c>
      <c r="E26" s="11">
        <f>IF(COUNTIFS(Mesarios!$A$2:$A$112,$A26,Mesarios!$B$2:$B$112,E$1)&gt;0,"✓","VAGO")</f>
        <v/>
      </c>
      <c r="F26" s="11">
        <f>IF(COUNTIFS(Mesarios!$A$2:$A$112,$A26,Mesarios!$B$2:$B$112,F$1)&gt;0,"✓","VAGO")</f>
        <v/>
      </c>
      <c r="G26" s="11">
        <f>COUNTIFS(Mesarios!$A$2:$A$112,$A26,Mesarios!$E$2:$E$112,"SIM")</f>
        <v/>
      </c>
      <c r="H26" s="11">
        <f>COUNTIFS(Mesarios!$A$2:$A$112,$A26,Mesarios!$E$2:$E$112,"NAO")</f>
        <v/>
      </c>
      <c r="I26" s="11">
        <f>COUNTIFS(Mesarios!$A$2:$A$112,$A26,Mesarios!$E$2:$E$112,"0006/2026")+COUNTIFS(Mesarios!$A$2:$A$112,$A26,Mesarios!$E$2:$E$112,"-")</f>
        <v/>
      </c>
      <c r="J26" s="11">
        <f>COUNTIF(C26:F26,"VAGO")</f>
        <v/>
      </c>
      <c r="K26" s="14">
        <f>IF(B26&lt;4,"Mesa com "&amp;B26&amp;" designados","")&amp;IF(AND(B26&lt;4,G26&lt;3)," · ","")&amp;IF(G26&lt;3,"Só "&amp;G26&amp;" presentes","")</f>
        <v/>
      </c>
      <c r="L26" s="13" t="n"/>
      <c r="M26" s="12" t="n">
        <v>398</v>
      </c>
      <c r="N26" s="12" t="n">
        <v>295</v>
      </c>
      <c r="O26" s="11">
        <f>IF(N26&gt;=$N$34,"Alto",IF(N26&gt;=$N$35,"Médio","Baixo"))</f>
        <v/>
      </c>
      <c r="P26" s="12" t="n">
        <v>397</v>
      </c>
      <c r="Q26" s="12" t="n">
        <v>134</v>
      </c>
      <c r="R26" s="37">
        <f>P26-Q26</f>
        <v/>
      </c>
      <c r="S26" s="38">
        <f>Q26/P26</f>
        <v/>
      </c>
      <c r="T26" s="39">
        <f>Q26-N26</f>
        <v/>
      </c>
      <c r="U26" s="40">
        <f>Q26/N26-1</f>
        <v/>
      </c>
      <c r="V26" s="41">
        <f>RANK(Q26,$Q$2:$Q$29)+COUNTIF($Q$2:Q26,Q26)-1</f>
        <v/>
      </c>
      <c r="W26" s="11">
        <f>IF(Q26&gt;=$W$34,"Alto",IF(Q26&gt;=$W$35,"Médio","Baixo"))</f>
        <v/>
      </c>
    </row>
    <row r="27">
      <c r="A27" s="15" t="n">
        <v>3688</v>
      </c>
      <c r="B27" s="11">
        <f>COUNTIFS(Mesarios!$A$2:$A$112,$A27)</f>
        <v/>
      </c>
      <c r="C27" s="11">
        <f>IF(COUNTIFS(Mesarios!$A$2:$A$112,$A27,Mesarios!$B$2:$B$112,C$1)&gt;0,"✓","VAGO")</f>
        <v/>
      </c>
      <c r="D27" s="11">
        <f>IF(COUNTIFS(Mesarios!$A$2:$A$112,$A27,Mesarios!$B$2:$B$112,D$1)&gt;0,"✓","VAGO")</f>
        <v/>
      </c>
      <c r="E27" s="11">
        <f>IF(COUNTIFS(Mesarios!$A$2:$A$112,$A27,Mesarios!$B$2:$B$112,E$1)&gt;0,"✓","VAGO")</f>
        <v/>
      </c>
      <c r="F27" s="11">
        <f>IF(COUNTIFS(Mesarios!$A$2:$A$112,$A27,Mesarios!$B$2:$B$112,F$1)&gt;0,"✓","VAGO")</f>
        <v/>
      </c>
      <c r="G27" s="11">
        <f>COUNTIFS(Mesarios!$A$2:$A$112,$A27,Mesarios!$E$2:$E$112,"SIM")</f>
        <v/>
      </c>
      <c r="H27" s="11">
        <f>COUNTIFS(Mesarios!$A$2:$A$112,$A27,Mesarios!$E$2:$E$112,"NAO")</f>
        <v/>
      </c>
      <c r="I27" s="11">
        <f>COUNTIFS(Mesarios!$A$2:$A$112,$A27,Mesarios!$E$2:$E$112,"0006/2026")+COUNTIFS(Mesarios!$A$2:$A$112,$A27,Mesarios!$E$2:$E$112,"-")</f>
        <v/>
      </c>
      <c r="J27" s="11">
        <f>COUNTIF(C27:F27,"VAGO")</f>
        <v/>
      </c>
      <c r="K27" s="14">
        <f>IF(B27&lt;4,"Mesa com "&amp;B27&amp;" designados","")&amp;IF(AND(B27&lt;4,G27&lt;3)," · ","")&amp;IF(G27&lt;3,"Só "&amp;G27&amp;" presentes","")</f>
        <v/>
      </c>
      <c r="L27" s="13" t="n"/>
      <c r="M27" s="12" t="n">
        <v>400</v>
      </c>
      <c r="N27" s="12" t="n">
        <v>296</v>
      </c>
      <c r="O27" s="11">
        <f>IF(N27&gt;=$N$34,"Alto",IF(N27&gt;=$N$35,"Médio","Baixo"))</f>
        <v/>
      </c>
      <c r="P27" s="12" t="n">
        <v>399</v>
      </c>
      <c r="Q27" s="12" t="n">
        <v>265</v>
      </c>
      <c r="R27" s="37">
        <f>P27-Q27</f>
        <v/>
      </c>
      <c r="S27" s="38">
        <f>Q27/P27</f>
        <v/>
      </c>
      <c r="T27" s="39">
        <f>Q27-N27</f>
        <v/>
      </c>
      <c r="U27" s="40">
        <f>Q27/N27-1</f>
        <v/>
      </c>
      <c r="V27" s="41">
        <f>RANK(Q27,$Q$2:$Q$29)+COUNTIF($Q$2:Q27,Q27)-1</f>
        <v/>
      </c>
      <c r="W27" s="11">
        <f>IF(Q27&gt;=$W$34,"Alto",IF(Q27&gt;=$W$35,"Médio","Baixo"))</f>
        <v/>
      </c>
    </row>
    <row r="28">
      <c r="A28" s="15" t="n">
        <v>3832</v>
      </c>
      <c r="B28" s="11">
        <f>COUNTIFS(Mesarios!$A$2:$A$112,$A28)</f>
        <v/>
      </c>
      <c r="C28" s="11">
        <f>IF(COUNTIFS(Mesarios!$A$2:$A$112,$A28,Mesarios!$B$2:$B$112,C$1)&gt;0,"✓","VAGO")</f>
        <v/>
      </c>
      <c r="D28" s="11">
        <f>IF(COUNTIFS(Mesarios!$A$2:$A$112,$A28,Mesarios!$B$2:$B$112,D$1)&gt;0,"✓","VAGO")</f>
        <v/>
      </c>
      <c r="E28" s="11">
        <f>IF(COUNTIFS(Mesarios!$A$2:$A$112,$A28,Mesarios!$B$2:$B$112,E$1)&gt;0,"✓","VAGO")</f>
        <v/>
      </c>
      <c r="F28" s="11">
        <f>IF(COUNTIFS(Mesarios!$A$2:$A$112,$A28,Mesarios!$B$2:$B$112,F$1)&gt;0,"✓","VAGO")</f>
        <v/>
      </c>
      <c r="G28" s="11">
        <f>COUNTIFS(Mesarios!$A$2:$A$112,$A28,Mesarios!$E$2:$E$112,"SIM")</f>
        <v/>
      </c>
      <c r="H28" s="11">
        <f>COUNTIFS(Mesarios!$A$2:$A$112,$A28,Mesarios!$E$2:$E$112,"NAO")</f>
        <v/>
      </c>
      <c r="I28" s="11">
        <f>COUNTIFS(Mesarios!$A$2:$A$112,$A28,Mesarios!$E$2:$E$112,"0006/2026")+COUNTIFS(Mesarios!$A$2:$A$112,$A28,Mesarios!$E$2:$E$112,"-")</f>
        <v/>
      </c>
      <c r="J28" s="11">
        <f>COUNTIF(C28:F28,"VAGO")</f>
        <v/>
      </c>
      <c r="K28" s="14">
        <f>IF(B28&lt;4,"Mesa com "&amp;B28&amp;" designados","")&amp;IF(AND(B28&lt;4,G28&lt;3)," · ","")&amp;IF(G28&lt;3,"Só "&amp;G28&amp;" presentes","")</f>
        <v/>
      </c>
      <c r="L28" s="13" t="n"/>
      <c r="M28" s="12" t="n">
        <v>400</v>
      </c>
      <c r="N28" s="12" t="n">
        <v>296</v>
      </c>
      <c r="O28" s="11">
        <f>IF(N28&gt;=$N$34,"Alto",IF(N28&gt;=$N$35,"Médio","Baixo"))</f>
        <v/>
      </c>
      <c r="P28" s="12" t="n">
        <v>399</v>
      </c>
      <c r="Q28" s="12" t="n">
        <v>306</v>
      </c>
      <c r="R28" s="37">
        <f>P28-Q28</f>
        <v/>
      </c>
      <c r="S28" s="38">
        <f>Q28/P28</f>
        <v/>
      </c>
      <c r="T28" s="39">
        <f>Q28-N28</f>
        <v/>
      </c>
      <c r="U28" s="40">
        <f>Q28/N28-1</f>
        <v/>
      </c>
      <c r="V28" s="41">
        <f>RANK(Q28,$Q$2:$Q$29)+COUNTIF($Q$2:Q28,Q28)-1</f>
        <v/>
      </c>
      <c r="W28" s="11">
        <f>IF(Q28&gt;=$W$34,"Alto",IF(Q28&gt;=$W$35,"Médio","Baixo"))</f>
        <v/>
      </c>
    </row>
    <row r="29" ht="15.75" customHeight="1" thickBot="1">
      <c r="A29" s="15" t="n">
        <v>3862</v>
      </c>
      <c r="B29" s="11">
        <f>COUNTIFS(Mesarios!$A$2:$A$112,$A29)</f>
        <v/>
      </c>
      <c r="C29" s="11">
        <f>IF(COUNTIFS(Mesarios!$A$2:$A$112,$A29,Mesarios!$B$2:$B$112,C$1)&gt;0,"✓","VAGO")</f>
        <v/>
      </c>
      <c r="D29" s="11">
        <f>IF(COUNTIFS(Mesarios!$A$2:$A$112,$A29,Mesarios!$B$2:$B$112,D$1)&gt;0,"✓","VAGO")</f>
        <v/>
      </c>
      <c r="E29" s="11">
        <f>IF(COUNTIFS(Mesarios!$A$2:$A$112,$A29,Mesarios!$B$2:$B$112,E$1)&gt;0,"✓","VAGO")</f>
        <v/>
      </c>
      <c r="F29" s="11">
        <f>IF(COUNTIFS(Mesarios!$A$2:$A$112,$A29,Mesarios!$B$2:$B$112,F$1)&gt;0,"✓","VAGO")</f>
        <v/>
      </c>
      <c r="G29" s="11">
        <f>COUNTIFS(Mesarios!$A$2:$A$112,$A29,Mesarios!$E$2:$E$112,"SIM")</f>
        <v/>
      </c>
      <c r="H29" s="11">
        <f>COUNTIFS(Mesarios!$A$2:$A$112,$A29,Mesarios!$E$2:$E$112,"NAO")</f>
        <v/>
      </c>
      <c r="I29" s="11">
        <f>COUNTIFS(Mesarios!$A$2:$A$112,$A29,Mesarios!$E$2:$E$112,"0006/2026")+COUNTIFS(Mesarios!$A$2:$A$112,$A29,Mesarios!$E$2:$E$112,"-")</f>
        <v/>
      </c>
      <c r="J29" s="11">
        <f>COUNTIF(C29:F29,"VAGO")</f>
        <v/>
      </c>
      <c r="K29" s="14">
        <f>IF(B29&lt;4,"Mesa com "&amp;B29&amp;" designados","")&amp;IF(AND(B29&lt;4,G29&lt;3)," · ","")&amp;IF(G29&lt;3,"Só "&amp;G29&amp;" presentes","")</f>
        <v/>
      </c>
      <c r="L29" s="13" t="n"/>
      <c r="M29" s="12" t="n">
        <v>400</v>
      </c>
      <c r="N29" s="12" t="n">
        <v>296</v>
      </c>
      <c r="O29" s="11">
        <f>IF(N29&gt;=$N$34,"Alto",IF(N29&gt;=$N$35,"Médio","Baixo"))</f>
        <v/>
      </c>
      <c r="P29" s="12" t="n">
        <v>400</v>
      </c>
      <c r="Q29" s="12" t="n">
        <v>302</v>
      </c>
      <c r="R29" s="37">
        <f>P29-Q29</f>
        <v/>
      </c>
      <c r="S29" s="38">
        <f>Q29/P29</f>
        <v/>
      </c>
      <c r="T29" s="39">
        <f>Q29-N29</f>
        <v/>
      </c>
      <c r="U29" s="40">
        <f>Q29/N29-1</f>
        <v/>
      </c>
      <c r="V29" s="41">
        <f>RANK(Q29,$Q$2:$Q$29)+COUNTIF($Q$2:Q29,Q29)-1</f>
        <v/>
      </c>
      <c r="W29" s="11">
        <f>IF(Q29&gt;=$W$34,"Alto",IF(Q29&gt;=$W$35,"Médio","Baixo"))</f>
        <v/>
      </c>
    </row>
    <row r="30">
      <c r="A30" s="8" t="inlineStr">
        <is>
          <t>Total</t>
        </is>
      </c>
      <c r="B30" s="8">
        <f>SUM(B2:B29)</f>
        <v/>
      </c>
      <c r="C30" s="8">
        <f>COUNTIF(C2:C29,"VAGO")</f>
        <v/>
      </c>
      <c r="D30" s="8">
        <f>COUNTIF(D2:D29,"VAGO")</f>
        <v/>
      </c>
      <c r="E30" s="8">
        <f>COUNTIF(E2:E29,"VAGO")</f>
        <v/>
      </c>
      <c r="F30" s="8">
        <f>COUNTIF(F2:F29,"VAGO")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10" t="n"/>
      <c r="M30" s="9">
        <f>SUM(M2:M29)</f>
        <v/>
      </c>
      <c r="N30" s="9">
        <f>SUM(N2:N29)</f>
        <v/>
      </c>
      <c r="O30" s="8">
        <f>COUNTIF(O2:O29,"Alto")&amp;" A · "&amp;COUNTIF(O2:O29,"Médio")&amp;" M · "&amp;COUNTIF(O2:O29,"Baixo")&amp;" B"</f>
        <v/>
      </c>
      <c r="P30" s="9">
        <f>SUM(P2:P29)</f>
        <v/>
      </c>
      <c r="Q30" s="9">
        <f>SUM(Q2:Q29)</f>
        <v/>
      </c>
      <c r="R30" s="9">
        <f>P30-Q30</f>
        <v/>
      </c>
      <c r="S30" s="42">
        <f>Q30/P30</f>
        <v/>
      </c>
      <c r="T30" s="43">
        <f>Q30-N30</f>
        <v/>
      </c>
      <c r="U30" s="44">
        <f>Q30/N30-1</f>
        <v/>
      </c>
      <c r="V30" s="9" t="n"/>
      <c r="W30" s="9">
        <f>COUNTIF(W2:W29,"Alto")&amp;" A · "&amp;COUNTIF(W2:W29,"Médio")&amp;" M · "&amp;COUNTIF(W2:W29,"Baixo")&amp;" B"</f>
        <v/>
      </c>
    </row>
    <row r="32">
      <c r="A32" s="7" t="inlineStr">
        <is>
          <t>Fonte: Justiça Eleitoral, Elo/Convoca+ — "Relatório de Mesários por Situação", Zona 001/ZZ, Local 1015 RDS Hall 2, emitido 30/09/2026 13:42. Colunas G–I lidas da coluna "Presença" da aba Mesarios (SIM / NAO / 0006/2026 / -); linhas NAO, 0006/2026 e "-" destacadas naquela aba.</t>
        </is>
      </c>
    </row>
    <row r="33">
      <c r="A33" s="6" t="inlineStr">
        <is>
          <t>Eleitores esperados: comparecimento esperado por urna (seção principal + agregada), já descontada a abstenção — base B do projeto (taxa de 2022 do condado de origem de cada seção), total 11.499 sobre 16.794 aptos. Fonte: repositório hamadmkalaf/dublineleicoesfinal, data/decisoes.json ("mesas"), de saidas/dados.json (CSVs oficiais do TSE). Premissa não oficial: não é previsão do TSE.</t>
        </is>
      </c>
    </row>
    <row r="34">
      <c r="A34" s="6" t="inlineStr">
        <is>
          <t>Faixa: regra de classes do projeto (decisoes.json → "classes"): as 3 maiores urnas = Alto (vermelho); esperado ≥ 450 = Médio (amarelo); abaixo = Baixo (verde). Limiares editáveis em N34:N35.</t>
        </is>
      </c>
      <c r="M34" s="4" t="inlineStr">
        <is>
          <t>Limiar "Alto" (3ª maior urna)</t>
        </is>
      </c>
      <c r="N34" s="5">
        <f>LARGE(N2:N29,3)</f>
        <v/>
      </c>
      <c r="V34" s="4" t="inlineStr">
        <is>
          <t>Limiar "Alto" (3ª maior urna, efetivo)</t>
        </is>
      </c>
      <c r="W34" s="5">
        <f>LARGE(Q2:Q29,3)</f>
        <v/>
      </c>
    </row>
    <row r="35">
      <c r="M35" s="4" t="inlineStr">
        <is>
          <t>Limiar "Médio"</t>
        </is>
      </c>
      <c r="N35" s="3" t="n">
        <v>450</v>
      </c>
      <c r="V35" s="4" t="inlineStr">
        <is>
          <t>Limiar "Médio" (450 × efetivo/esperado)</t>
        </is>
      </c>
      <c r="W35" s="5">
        <f>ROUND(N35*Q30/N30,0)</f>
        <v/>
      </c>
    </row>
    <row r="37">
      <c r="A37" s="7" t="inlineStr">
        <is>
          <t>Colunas P–W: Boletins de Urna (BU) do 1º turno, 04/10/2026, Zona 001 · Local 1015 RDS Hall 2 — 28 BUs, um por urna, conferidos pela seção agregada impressa no BU. Transcritos das fotos (P e Q em azul); R = P − Q confere com o "Eleitores faltosos" impresso em todos os 28; em 3305 o comparecimento foi confirmado pela soma de votos (261 nominais + 3 brancos + 1 nulo = 265).</t>
        </is>
      </c>
    </row>
    <row r="38">
      <c r="A38" s="7" t="inlineStr">
        <is>
          <t>Aptos (BU) é menor que "Aptos na urna" (col. M) em 24 das 28 urnas, igual nas outras 4 (−74 no total: 16.720 vs 16.794) — o BU é o dado do dia; M vem dos CSVs do TSE. Faixa efetiva: mesma regra da col. O, aplicada ao comparecimento efetivo; o limiar "Médio" é a regra de 450 reescalada pela razão efetivo/esperado (premissa, editável em W35).</t>
        </is>
      </c>
    </row>
  </sheetData>
  <conditionalFormatting sqref="A2:A29">
    <cfRule type="expression" priority="1" dxfId="2">
      <formula>$O2="Alto"</formula>
    </cfRule>
    <cfRule type="expression" priority="2" dxfId="1">
      <formula>$O2="Médio"</formula>
    </cfRule>
    <cfRule type="expression" priority="3" dxfId="0">
      <formula>$O2="Baixo"</formula>
    </cfRule>
  </conditionalFormatting>
  <conditionalFormatting sqref="A2:K29">
    <cfRule type="expression" priority="7" dxfId="6">
      <formula>$B2&lt;4</formula>
    </cfRule>
  </conditionalFormatting>
  <conditionalFormatting sqref="C2:F29">
    <cfRule type="expression" priority="8" dxfId="5">
      <formula>C2="VAGO"</formula>
    </cfRule>
  </conditionalFormatting>
  <conditionalFormatting sqref="G2:G29">
    <cfRule type="expression" priority="9" dxfId="4">
      <formula>G2&lt;3</formula>
    </cfRule>
  </conditionalFormatting>
  <conditionalFormatting sqref="H2:I29">
    <cfRule type="expression" priority="10" dxfId="3">
      <formula>H2&gt;0</formula>
    </cfRule>
  </conditionalFormatting>
  <conditionalFormatting sqref="N2:O29">
    <cfRule type="expression" priority="4" dxfId="2">
      <formula>$O2="Alto"</formula>
    </cfRule>
    <cfRule type="expression" priority="5" dxfId="1">
      <formula>$O2="Médio"</formula>
    </cfRule>
    <cfRule type="expression" priority="6" dxfId="0">
      <formula>$O2="Baixo"</formula>
    </cfRule>
  </conditionalFormatting>
  <conditionalFormatting sqref="Q2:Q29">
    <cfRule type="expression" priority="11" dxfId="25">
      <formula>$W2="Alto"</formula>
    </cfRule>
    <cfRule type="expression" priority="12" dxfId="26">
      <formula>$W2="Médio"</formula>
    </cfRule>
    <cfRule type="expression" priority="13" dxfId="27">
      <formula>$W2="Baixo"</formula>
    </cfRule>
  </conditionalFormatting>
  <conditionalFormatting sqref="V2:W29">
    <cfRule type="expression" priority="14" dxfId="25">
      <formula>$W2="Alto"</formula>
    </cfRule>
    <cfRule type="expression" priority="15" dxfId="26">
      <formula>$W2="Médio"</formula>
    </cfRule>
    <cfRule type="expression" priority="16" dxfId="27">
      <formula>$W2="Baixo"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36" t="inlineStr">
        <is>
          <t>Pos.</t>
        </is>
      </c>
      <c r="B1" s="36" t="inlineStr">
        <is>
          <t>Seção</t>
        </is>
      </c>
      <c r="C1" s="36" t="inlineStr">
        <is>
          <t>Seção agregada</t>
        </is>
      </c>
      <c r="D1" s="36" t="inlineStr">
        <is>
          <t>Aptos (BU)</t>
        </is>
      </c>
      <c r="E1" s="36" t="inlineStr">
        <is>
          <t>Esperado</t>
        </is>
      </c>
      <c r="F1" s="36" t="inlineStr">
        <is>
          <t>Efetivo</t>
        </is>
      </c>
      <c r="G1" s="36" t="inlineStr">
        <is>
          <t>Taxa</t>
        </is>
      </c>
      <c r="H1" s="36" t="inlineStr">
        <is>
          <t>Efetivo − esperado</t>
        </is>
      </c>
      <c r="I1" s="36" t="inlineStr">
        <is>
          <t>Desvio</t>
        </is>
      </c>
      <c r="J1" s="36" t="inlineStr">
        <is>
          <t>Faixa efetiva</t>
        </is>
      </c>
    </row>
    <row r="2">
      <c r="A2" s="11" t="n">
        <v>1</v>
      </c>
      <c r="B2" s="11">
        <f>INDEX('Por secao'!$A$2:$A$29,MATCH($A2,'Por secao'!$V$2:$V$29,0))</f>
        <v/>
      </c>
      <c r="C2" s="11">
        <f>IF(INDEX('Por secao'!$L$2:$L$29,MATCH($A2,'Por secao'!$V$2:$V$29,0))="","—",INDEX('Por secao'!$L$2:$L$29,MATCH($A2,'Por secao'!$V$2:$V$29,0)))</f>
        <v/>
      </c>
      <c r="D2" s="37">
        <f>INDEX('Por secao'!$P$2:$P$29,MATCH($A2,'Por secao'!$V$2:$V$29,0))</f>
        <v/>
      </c>
      <c r="E2" s="37">
        <f>INDEX('Por secao'!$N$2:$N$29,MATCH($A2,'Por secao'!$V$2:$V$29,0))</f>
        <v/>
      </c>
      <c r="F2" s="37">
        <f>INDEX('Por secao'!$Q$2:$Q$29,MATCH($A2,'Por secao'!$V$2:$V$29,0))</f>
        <v/>
      </c>
      <c r="G2" s="38">
        <f>INDEX('Por secao'!$S$2:$S$29,MATCH($A2,'Por secao'!$V$2:$V$29,0))</f>
        <v/>
      </c>
      <c r="H2" s="39">
        <f>INDEX('Por secao'!$T$2:$T$29,MATCH($A2,'Por secao'!$V$2:$V$29,0))</f>
        <v/>
      </c>
      <c r="I2" s="40">
        <f>INDEX('Por secao'!$U$2:$U$29,MATCH($A2,'Por secao'!$V$2:$V$29,0))</f>
        <v/>
      </c>
      <c r="J2" s="11">
        <f>INDEX('Por secao'!$W$2:$W$29,MATCH($A2,'Por secao'!$V$2:$V$29,0))</f>
        <v/>
      </c>
    </row>
    <row r="3">
      <c r="A3" s="11" t="n">
        <v>2</v>
      </c>
      <c r="B3" s="11">
        <f>INDEX('Por secao'!$A$2:$A$29,MATCH($A3,'Por secao'!$V$2:$V$29,0))</f>
        <v/>
      </c>
      <c r="C3" s="11">
        <f>IF(INDEX('Por secao'!$L$2:$L$29,MATCH($A3,'Por secao'!$V$2:$V$29,0))="","—",INDEX('Por secao'!$L$2:$L$29,MATCH($A3,'Por secao'!$V$2:$V$29,0)))</f>
        <v/>
      </c>
      <c r="D3" s="37">
        <f>INDEX('Por secao'!$P$2:$P$29,MATCH($A3,'Por secao'!$V$2:$V$29,0))</f>
        <v/>
      </c>
      <c r="E3" s="37">
        <f>INDEX('Por secao'!$N$2:$N$29,MATCH($A3,'Por secao'!$V$2:$V$29,0))</f>
        <v/>
      </c>
      <c r="F3" s="37">
        <f>INDEX('Por secao'!$Q$2:$Q$29,MATCH($A3,'Por secao'!$V$2:$V$29,0))</f>
        <v/>
      </c>
      <c r="G3" s="38">
        <f>INDEX('Por secao'!$S$2:$S$29,MATCH($A3,'Por secao'!$V$2:$V$29,0))</f>
        <v/>
      </c>
      <c r="H3" s="39">
        <f>INDEX('Por secao'!$T$2:$T$29,MATCH($A3,'Por secao'!$V$2:$V$29,0))</f>
        <v/>
      </c>
      <c r="I3" s="40">
        <f>INDEX('Por secao'!$U$2:$U$29,MATCH($A3,'Por secao'!$V$2:$V$29,0))</f>
        <v/>
      </c>
      <c r="J3" s="11">
        <f>INDEX('Por secao'!$W$2:$W$29,MATCH($A3,'Por secao'!$V$2:$V$29,0))</f>
        <v/>
      </c>
    </row>
    <row r="4">
      <c r="A4" s="11" t="n">
        <v>3</v>
      </c>
      <c r="B4" s="11">
        <f>INDEX('Por secao'!$A$2:$A$29,MATCH($A4,'Por secao'!$V$2:$V$29,0))</f>
        <v/>
      </c>
      <c r="C4" s="11">
        <f>IF(INDEX('Por secao'!$L$2:$L$29,MATCH($A4,'Por secao'!$V$2:$V$29,0))="","—",INDEX('Por secao'!$L$2:$L$29,MATCH($A4,'Por secao'!$V$2:$V$29,0)))</f>
        <v/>
      </c>
      <c r="D4" s="37">
        <f>INDEX('Por secao'!$P$2:$P$29,MATCH($A4,'Por secao'!$V$2:$V$29,0))</f>
        <v/>
      </c>
      <c r="E4" s="37">
        <f>INDEX('Por secao'!$N$2:$N$29,MATCH($A4,'Por secao'!$V$2:$V$29,0))</f>
        <v/>
      </c>
      <c r="F4" s="37">
        <f>INDEX('Por secao'!$Q$2:$Q$29,MATCH($A4,'Por secao'!$V$2:$V$29,0))</f>
        <v/>
      </c>
      <c r="G4" s="38">
        <f>INDEX('Por secao'!$S$2:$S$29,MATCH($A4,'Por secao'!$V$2:$V$29,0))</f>
        <v/>
      </c>
      <c r="H4" s="39">
        <f>INDEX('Por secao'!$T$2:$T$29,MATCH($A4,'Por secao'!$V$2:$V$29,0))</f>
        <v/>
      </c>
      <c r="I4" s="40">
        <f>INDEX('Por secao'!$U$2:$U$29,MATCH($A4,'Por secao'!$V$2:$V$29,0))</f>
        <v/>
      </c>
      <c r="J4" s="11">
        <f>INDEX('Por secao'!$W$2:$W$29,MATCH($A4,'Por secao'!$V$2:$V$29,0))</f>
        <v/>
      </c>
    </row>
    <row r="5">
      <c r="A5" s="11" t="n">
        <v>4</v>
      </c>
      <c r="B5" s="11">
        <f>INDEX('Por secao'!$A$2:$A$29,MATCH($A5,'Por secao'!$V$2:$V$29,0))</f>
        <v/>
      </c>
      <c r="C5" s="11">
        <f>IF(INDEX('Por secao'!$L$2:$L$29,MATCH($A5,'Por secao'!$V$2:$V$29,0))="","—",INDEX('Por secao'!$L$2:$L$29,MATCH($A5,'Por secao'!$V$2:$V$29,0)))</f>
        <v/>
      </c>
      <c r="D5" s="37">
        <f>INDEX('Por secao'!$P$2:$P$29,MATCH($A5,'Por secao'!$V$2:$V$29,0))</f>
        <v/>
      </c>
      <c r="E5" s="37">
        <f>INDEX('Por secao'!$N$2:$N$29,MATCH($A5,'Por secao'!$V$2:$V$29,0))</f>
        <v/>
      </c>
      <c r="F5" s="37">
        <f>INDEX('Por secao'!$Q$2:$Q$29,MATCH($A5,'Por secao'!$V$2:$V$29,0))</f>
        <v/>
      </c>
      <c r="G5" s="38">
        <f>INDEX('Por secao'!$S$2:$S$29,MATCH($A5,'Por secao'!$V$2:$V$29,0))</f>
        <v/>
      </c>
      <c r="H5" s="39">
        <f>INDEX('Por secao'!$T$2:$T$29,MATCH($A5,'Por secao'!$V$2:$V$29,0))</f>
        <v/>
      </c>
      <c r="I5" s="40">
        <f>INDEX('Por secao'!$U$2:$U$29,MATCH($A5,'Por secao'!$V$2:$V$29,0))</f>
        <v/>
      </c>
      <c r="J5" s="11">
        <f>INDEX('Por secao'!$W$2:$W$29,MATCH($A5,'Por secao'!$V$2:$V$29,0))</f>
        <v/>
      </c>
    </row>
    <row r="6">
      <c r="A6" s="11" t="n">
        <v>5</v>
      </c>
      <c r="B6" s="11">
        <f>INDEX('Por secao'!$A$2:$A$29,MATCH($A6,'Por secao'!$V$2:$V$29,0))</f>
        <v/>
      </c>
      <c r="C6" s="11">
        <f>IF(INDEX('Por secao'!$L$2:$L$29,MATCH($A6,'Por secao'!$V$2:$V$29,0))="","—",INDEX('Por secao'!$L$2:$L$29,MATCH($A6,'Por secao'!$V$2:$V$29,0)))</f>
        <v/>
      </c>
      <c r="D6" s="37">
        <f>INDEX('Por secao'!$P$2:$P$29,MATCH($A6,'Por secao'!$V$2:$V$29,0))</f>
        <v/>
      </c>
      <c r="E6" s="37">
        <f>INDEX('Por secao'!$N$2:$N$29,MATCH($A6,'Por secao'!$V$2:$V$29,0))</f>
        <v/>
      </c>
      <c r="F6" s="37">
        <f>INDEX('Por secao'!$Q$2:$Q$29,MATCH($A6,'Por secao'!$V$2:$V$29,0))</f>
        <v/>
      </c>
      <c r="G6" s="38">
        <f>INDEX('Por secao'!$S$2:$S$29,MATCH($A6,'Por secao'!$V$2:$V$29,0))</f>
        <v/>
      </c>
      <c r="H6" s="39">
        <f>INDEX('Por secao'!$T$2:$T$29,MATCH($A6,'Por secao'!$V$2:$V$29,0))</f>
        <v/>
      </c>
      <c r="I6" s="40">
        <f>INDEX('Por secao'!$U$2:$U$29,MATCH($A6,'Por secao'!$V$2:$V$29,0))</f>
        <v/>
      </c>
      <c r="J6" s="11">
        <f>INDEX('Por secao'!$W$2:$W$29,MATCH($A6,'Por secao'!$V$2:$V$29,0))</f>
        <v/>
      </c>
    </row>
    <row r="7">
      <c r="A7" s="11" t="n">
        <v>6</v>
      </c>
      <c r="B7" s="11">
        <f>INDEX('Por secao'!$A$2:$A$29,MATCH($A7,'Por secao'!$V$2:$V$29,0))</f>
        <v/>
      </c>
      <c r="C7" s="11">
        <f>IF(INDEX('Por secao'!$L$2:$L$29,MATCH($A7,'Por secao'!$V$2:$V$29,0))="","—",INDEX('Por secao'!$L$2:$L$29,MATCH($A7,'Por secao'!$V$2:$V$29,0)))</f>
        <v/>
      </c>
      <c r="D7" s="37">
        <f>INDEX('Por secao'!$P$2:$P$29,MATCH($A7,'Por secao'!$V$2:$V$29,0))</f>
        <v/>
      </c>
      <c r="E7" s="37">
        <f>INDEX('Por secao'!$N$2:$N$29,MATCH($A7,'Por secao'!$V$2:$V$29,0))</f>
        <v/>
      </c>
      <c r="F7" s="37">
        <f>INDEX('Por secao'!$Q$2:$Q$29,MATCH($A7,'Por secao'!$V$2:$V$29,0))</f>
        <v/>
      </c>
      <c r="G7" s="38">
        <f>INDEX('Por secao'!$S$2:$S$29,MATCH($A7,'Por secao'!$V$2:$V$29,0))</f>
        <v/>
      </c>
      <c r="H7" s="39">
        <f>INDEX('Por secao'!$T$2:$T$29,MATCH($A7,'Por secao'!$V$2:$V$29,0))</f>
        <v/>
      </c>
      <c r="I7" s="40">
        <f>INDEX('Por secao'!$U$2:$U$29,MATCH($A7,'Por secao'!$V$2:$V$29,0))</f>
        <v/>
      </c>
      <c r="J7" s="11">
        <f>INDEX('Por secao'!$W$2:$W$29,MATCH($A7,'Por secao'!$V$2:$V$29,0))</f>
        <v/>
      </c>
    </row>
    <row r="8">
      <c r="A8" s="11" t="n">
        <v>7</v>
      </c>
      <c r="B8" s="11">
        <f>INDEX('Por secao'!$A$2:$A$29,MATCH($A8,'Por secao'!$V$2:$V$29,0))</f>
        <v/>
      </c>
      <c r="C8" s="11">
        <f>IF(INDEX('Por secao'!$L$2:$L$29,MATCH($A8,'Por secao'!$V$2:$V$29,0))="","—",INDEX('Por secao'!$L$2:$L$29,MATCH($A8,'Por secao'!$V$2:$V$29,0)))</f>
        <v/>
      </c>
      <c r="D8" s="37">
        <f>INDEX('Por secao'!$P$2:$P$29,MATCH($A8,'Por secao'!$V$2:$V$29,0))</f>
        <v/>
      </c>
      <c r="E8" s="37">
        <f>INDEX('Por secao'!$N$2:$N$29,MATCH($A8,'Por secao'!$V$2:$V$29,0))</f>
        <v/>
      </c>
      <c r="F8" s="37">
        <f>INDEX('Por secao'!$Q$2:$Q$29,MATCH($A8,'Por secao'!$V$2:$V$29,0))</f>
        <v/>
      </c>
      <c r="G8" s="38">
        <f>INDEX('Por secao'!$S$2:$S$29,MATCH($A8,'Por secao'!$V$2:$V$29,0))</f>
        <v/>
      </c>
      <c r="H8" s="39">
        <f>INDEX('Por secao'!$T$2:$T$29,MATCH($A8,'Por secao'!$V$2:$V$29,0))</f>
        <v/>
      </c>
      <c r="I8" s="40">
        <f>INDEX('Por secao'!$U$2:$U$29,MATCH($A8,'Por secao'!$V$2:$V$29,0))</f>
        <v/>
      </c>
      <c r="J8" s="11">
        <f>INDEX('Por secao'!$W$2:$W$29,MATCH($A8,'Por secao'!$V$2:$V$29,0))</f>
        <v/>
      </c>
    </row>
    <row r="9">
      <c r="A9" s="11" t="n">
        <v>8</v>
      </c>
      <c r="B9" s="11">
        <f>INDEX('Por secao'!$A$2:$A$29,MATCH($A9,'Por secao'!$V$2:$V$29,0))</f>
        <v/>
      </c>
      <c r="C9" s="11">
        <f>IF(INDEX('Por secao'!$L$2:$L$29,MATCH($A9,'Por secao'!$V$2:$V$29,0))="","—",INDEX('Por secao'!$L$2:$L$29,MATCH($A9,'Por secao'!$V$2:$V$29,0)))</f>
        <v/>
      </c>
      <c r="D9" s="37">
        <f>INDEX('Por secao'!$P$2:$P$29,MATCH($A9,'Por secao'!$V$2:$V$29,0))</f>
        <v/>
      </c>
      <c r="E9" s="37">
        <f>INDEX('Por secao'!$N$2:$N$29,MATCH($A9,'Por secao'!$V$2:$V$29,0))</f>
        <v/>
      </c>
      <c r="F9" s="37">
        <f>INDEX('Por secao'!$Q$2:$Q$29,MATCH($A9,'Por secao'!$V$2:$V$29,0))</f>
        <v/>
      </c>
      <c r="G9" s="38">
        <f>INDEX('Por secao'!$S$2:$S$29,MATCH($A9,'Por secao'!$V$2:$V$29,0))</f>
        <v/>
      </c>
      <c r="H9" s="39">
        <f>INDEX('Por secao'!$T$2:$T$29,MATCH($A9,'Por secao'!$V$2:$V$29,0))</f>
        <v/>
      </c>
      <c r="I9" s="40">
        <f>INDEX('Por secao'!$U$2:$U$29,MATCH($A9,'Por secao'!$V$2:$V$29,0))</f>
        <v/>
      </c>
      <c r="J9" s="11">
        <f>INDEX('Por secao'!$W$2:$W$29,MATCH($A9,'Por secao'!$V$2:$V$29,0))</f>
        <v/>
      </c>
    </row>
    <row r="10">
      <c r="A10" s="11" t="n">
        <v>9</v>
      </c>
      <c r="B10" s="11">
        <f>INDEX('Por secao'!$A$2:$A$29,MATCH($A10,'Por secao'!$V$2:$V$29,0))</f>
        <v/>
      </c>
      <c r="C10" s="11">
        <f>IF(INDEX('Por secao'!$L$2:$L$29,MATCH($A10,'Por secao'!$V$2:$V$29,0))="","—",INDEX('Por secao'!$L$2:$L$29,MATCH($A10,'Por secao'!$V$2:$V$29,0)))</f>
        <v/>
      </c>
      <c r="D10" s="37">
        <f>INDEX('Por secao'!$P$2:$P$29,MATCH($A10,'Por secao'!$V$2:$V$29,0))</f>
        <v/>
      </c>
      <c r="E10" s="37">
        <f>INDEX('Por secao'!$N$2:$N$29,MATCH($A10,'Por secao'!$V$2:$V$29,0))</f>
        <v/>
      </c>
      <c r="F10" s="37">
        <f>INDEX('Por secao'!$Q$2:$Q$29,MATCH($A10,'Por secao'!$V$2:$V$29,0))</f>
        <v/>
      </c>
      <c r="G10" s="38">
        <f>INDEX('Por secao'!$S$2:$S$29,MATCH($A10,'Por secao'!$V$2:$V$29,0))</f>
        <v/>
      </c>
      <c r="H10" s="39">
        <f>INDEX('Por secao'!$T$2:$T$29,MATCH($A10,'Por secao'!$V$2:$V$29,0))</f>
        <v/>
      </c>
      <c r="I10" s="40">
        <f>INDEX('Por secao'!$U$2:$U$29,MATCH($A10,'Por secao'!$V$2:$V$29,0))</f>
        <v/>
      </c>
      <c r="J10" s="11">
        <f>INDEX('Por secao'!$W$2:$W$29,MATCH($A10,'Por secao'!$V$2:$V$29,0))</f>
        <v/>
      </c>
    </row>
    <row r="11">
      <c r="A11" s="11" t="n">
        <v>10</v>
      </c>
      <c r="B11" s="11">
        <f>INDEX('Por secao'!$A$2:$A$29,MATCH($A11,'Por secao'!$V$2:$V$29,0))</f>
        <v/>
      </c>
      <c r="C11" s="11">
        <f>IF(INDEX('Por secao'!$L$2:$L$29,MATCH($A11,'Por secao'!$V$2:$V$29,0))="","—",INDEX('Por secao'!$L$2:$L$29,MATCH($A11,'Por secao'!$V$2:$V$29,0)))</f>
        <v/>
      </c>
      <c r="D11" s="37">
        <f>INDEX('Por secao'!$P$2:$P$29,MATCH($A11,'Por secao'!$V$2:$V$29,0))</f>
        <v/>
      </c>
      <c r="E11" s="37">
        <f>INDEX('Por secao'!$N$2:$N$29,MATCH($A11,'Por secao'!$V$2:$V$29,0))</f>
        <v/>
      </c>
      <c r="F11" s="37">
        <f>INDEX('Por secao'!$Q$2:$Q$29,MATCH($A11,'Por secao'!$V$2:$V$29,0))</f>
        <v/>
      </c>
      <c r="G11" s="38">
        <f>INDEX('Por secao'!$S$2:$S$29,MATCH($A11,'Por secao'!$V$2:$V$29,0))</f>
        <v/>
      </c>
      <c r="H11" s="39">
        <f>INDEX('Por secao'!$T$2:$T$29,MATCH($A11,'Por secao'!$V$2:$V$29,0))</f>
        <v/>
      </c>
      <c r="I11" s="40">
        <f>INDEX('Por secao'!$U$2:$U$29,MATCH($A11,'Por secao'!$V$2:$V$29,0))</f>
        <v/>
      </c>
      <c r="J11" s="11">
        <f>INDEX('Por secao'!$W$2:$W$29,MATCH($A11,'Por secao'!$V$2:$V$29,0))</f>
        <v/>
      </c>
    </row>
    <row r="12">
      <c r="A12" s="11" t="n">
        <v>11</v>
      </c>
      <c r="B12" s="11">
        <f>INDEX('Por secao'!$A$2:$A$29,MATCH($A12,'Por secao'!$V$2:$V$29,0))</f>
        <v/>
      </c>
      <c r="C12" s="11">
        <f>IF(INDEX('Por secao'!$L$2:$L$29,MATCH($A12,'Por secao'!$V$2:$V$29,0))="","—",INDEX('Por secao'!$L$2:$L$29,MATCH($A12,'Por secao'!$V$2:$V$29,0)))</f>
        <v/>
      </c>
      <c r="D12" s="37">
        <f>INDEX('Por secao'!$P$2:$P$29,MATCH($A12,'Por secao'!$V$2:$V$29,0))</f>
        <v/>
      </c>
      <c r="E12" s="37">
        <f>INDEX('Por secao'!$N$2:$N$29,MATCH($A12,'Por secao'!$V$2:$V$29,0))</f>
        <v/>
      </c>
      <c r="F12" s="37">
        <f>INDEX('Por secao'!$Q$2:$Q$29,MATCH($A12,'Por secao'!$V$2:$V$29,0))</f>
        <v/>
      </c>
      <c r="G12" s="38">
        <f>INDEX('Por secao'!$S$2:$S$29,MATCH($A12,'Por secao'!$V$2:$V$29,0))</f>
        <v/>
      </c>
      <c r="H12" s="39">
        <f>INDEX('Por secao'!$T$2:$T$29,MATCH($A12,'Por secao'!$V$2:$V$29,0))</f>
        <v/>
      </c>
      <c r="I12" s="40">
        <f>INDEX('Por secao'!$U$2:$U$29,MATCH($A12,'Por secao'!$V$2:$V$29,0))</f>
        <v/>
      </c>
      <c r="J12" s="11">
        <f>INDEX('Por secao'!$W$2:$W$29,MATCH($A12,'Por secao'!$V$2:$V$29,0))</f>
        <v/>
      </c>
    </row>
    <row r="13">
      <c r="A13" s="11" t="n">
        <v>12</v>
      </c>
      <c r="B13" s="11">
        <f>INDEX('Por secao'!$A$2:$A$29,MATCH($A13,'Por secao'!$V$2:$V$29,0))</f>
        <v/>
      </c>
      <c r="C13" s="11">
        <f>IF(INDEX('Por secao'!$L$2:$L$29,MATCH($A13,'Por secao'!$V$2:$V$29,0))="","—",INDEX('Por secao'!$L$2:$L$29,MATCH($A13,'Por secao'!$V$2:$V$29,0)))</f>
        <v/>
      </c>
      <c r="D13" s="37">
        <f>INDEX('Por secao'!$P$2:$P$29,MATCH($A13,'Por secao'!$V$2:$V$29,0))</f>
        <v/>
      </c>
      <c r="E13" s="37">
        <f>INDEX('Por secao'!$N$2:$N$29,MATCH($A13,'Por secao'!$V$2:$V$29,0))</f>
        <v/>
      </c>
      <c r="F13" s="37">
        <f>INDEX('Por secao'!$Q$2:$Q$29,MATCH($A13,'Por secao'!$V$2:$V$29,0))</f>
        <v/>
      </c>
      <c r="G13" s="38">
        <f>INDEX('Por secao'!$S$2:$S$29,MATCH($A13,'Por secao'!$V$2:$V$29,0))</f>
        <v/>
      </c>
      <c r="H13" s="39">
        <f>INDEX('Por secao'!$T$2:$T$29,MATCH($A13,'Por secao'!$V$2:$V$29,0))</f>
        <v/>
      </c>
      <c r="I13" s="40">
        <f>INDEX('Por secao'!$U$2:$U$29,MATCH($A13,'Por secao'!$V$2:$V$29,0))</f>
        <v/>
      </c>
      <c r="J13" s="11">
        <f>INDEX('Por secao'!$W$2:$W$29,MATCH($A13,'Por secao'!$V$2:$V$29,0))</f>
        <v/>
      </c>
    </row>
    <row r="14">
      <c r="A14" s="11" t="n">
        <v>13</v>
      </c>
      <c r="B14" s="11">
        <f>INDEX('Por secao'!$A$2:$A$29,MATCH($A14,'Por secao'!$V$2:$V$29,0))</f>
        <v/>
      </c>
      <c r="C14" s="11">
        <f>IF(INDEX('Por secao'!$L$2:$L$29,MATCH($A14,'Por secao'!$V$2:$V$29,0))="","—",INDEX('Por secao'!$L$2:$L$29,MATCH($A14,'Por secao'!$V$2:$V$29,0)))</f>
        <v/>
      </c>
      <c r="D14" s="37">
        <f>INDEX('Por secao'!$P$2:$P$29,MATCH($A14,'Por secao'!$V$2:$V$29,0))</f>
        <v/>
      </c>
      <c r="E14" s="37">
        <f>INDEX('Por secao'!$N$2:$N$29,MATCH($A14,'Por secao'!$V$2:$V$29,0))</f>
        <v/>
      </c>
      <c r="F14" s="37">
        <f>INDEX('Por secao'!$Q$2:$Q$29,MATCH($A14,'Por secao'!$V$2:$V$29,0))</f>
        <v/>
      </c>
      <c r="G14" s="38">
        <f>INDEX('Por secao'!$S$2:$S$29,MATCH($A14,'Por secao'!$V$2:$V$29,0))</f>
        <v/>
      </c>
      <c r="H14" s="39">
        <f>INDEX('Por secao'!$T$2:$T$29,MATCH($A14,'Por secao'!$V$2:$V$29,0))</f>
        <v/>
      </c>
      <c r="I14" s="40">
        <f>INDEX('Por secao'!$U$2:$U$29,MATCH($A14,'Por secao'!$V$2:$V$29,0))</f>
        <v/>
      </c>
      <c r="J14" s="11">
        <f>INDEX('Por secao'!$W$2:$W$29,MATCH($A14,'Por secao'!$V$2:$V$29,0))</f>
        <v/>
      </c>
    </row>
    <row r="15">
      <c r="A15" s="11" t="n">
        <v>14</v>
      </c>
      <c r="B15" s="11">
        <f>INDEX('Por secao'!$A$2:$A$29,MATCH($A15,'Por secao'!$V$2:$V$29,0))</f>
        <v/>
      </c>
      <c r="C15" s="11">
        <f>IF(INDEX('Por secao'!$L$2:$L$29,MATCH($A15,'Por secao'!$V$2:$V$29,0))="","—",INDEX('Por secao'!$L$2:$L$29,MATCH($A15,'Por secao'!$V$2:$V$29,0)))</f>
        <v/>
      </c>
      <c r="D15" s="37">
        <f>INDEX('Por secao'!$P$2:$P$29,MATCH($A15,'Por secao'!$V$2:$V$29,0))</f>
        <v/>
      </c>
      <c r="E15" s="37">
        <f>INDEX('Por secao'!$N$2:$N$29,MATCH($A15,'Por secao'!$V$2:$V$29,0))</f>
        <v/>
      </c>
      <c r="F15" s="37">
        <f>INDEX('Por secao'!$Q$2:$Q$29,MATCH($A15,'Por secao'!$V$2:$V$29,0))</f>
        <v/>
      </c>
      <c r="G15" s="38">
        <f>INDEX('Por secao'!$S$2:$S$29,MATCH($A15,'Por secao'!$V$2:$V$29,0))</f>
        <v/>
      </c>
      <c r="H15" s="39">
        <f>INDEX('Por secao'!$T$2:$T$29,MATCH($A15,'Por secao'!$V$2:$V$29,0))</f>
        <v/>
      </c>
      <c r="I15" s="40">
        <f>INDEX('Por secao'!$U$2:$U$29,MATCH($A15,'Por secao'!$V$2:$V$29,0))</f>
        <v/>
      </c>
      <c r="J15" s="11">
        <f>INDEX('Por secao'!$W$2:$W$29,MATCH($A15,'Por secao'!$V$2:$V$29,0))</f>
        <v/>
      </c>
    </row>
    <row r="16">
      <c r="A16" s="11" t="n">
        <v>15</v>
      </c>
      <c r="B16" s="11">
        <f>INDEX('Por secao'!$A$2:$A$29,MATCH($A16,'Por secao'!$V$2:$V$29,0))</f>
        <v/>
      </c>
      <c r="C16" s="11">
        <f>IF(INDEX('Por secao'!$L$2:$L$29,MATCH($A16,'Por secao'!$V$2:$V$29,0))="","—",INDEX('Por secao'!$L$2:$L$29,MATCH($A16,'Por secao'!$V$2:$V$29,0)))</f>
        <v/>
      </c>
      <c r="D16" s="37">
        <f>INDEX('Por secao'!$P$2:$P$29,MATCH($A16,'Por secao'!$V$2:$V$29,0))</f>
        <v/>
      </c>
      <c r="E16" s="37">
        <f>INDEX('Por secao'!$N$2:$N$29,MATCH($A16,'Por secao'!$V$2:$V$29,0))</f>
        <v/>
      </c>
      <c r="F16" s="37">
        <f>INDEX('Por secao'!$Q$2:$Q$29,MATCH($A16,'Por secao'!$V$2:$V$29,0))</f>
        <v/>
      </c>
      <c r="G16" s="38">
        <f>INDEX('Por secao'!$S$2:$S$29,MATCH($A16,'Por secao'!$V$2:$V$29,0))</f>
        <v/>
      </c>
      <c r="H16" s="39">
        <f>INDEX('Por secao'!$T$2:$T$29,MATCH($A16,'Por secao'!$V$2:$V$29,0))</f>
        <v/>
      </c>
      <c r="I16" s="40">
        <f>INDEX('Por secao'!$U$2:$U$29,MATCH($A16,'Por secao'!$V$2:$V$29,0))</f>
        <v/>
      </c>
      <c r="J16" s="11">
        <f>INDEX('Por secao'!$W$2:$W$29,MATCH($A16,'Por secao'!$V$2:$V$29,0))</f>
        <v/>
      </c>
    </row>
    <row r="17">
      <c r="A17" s="11" t="n">
        <v>16</v>
      </c>
      <c r="B17" s="11">
        <f>INDEX('Por secao'!$A$2:$A$29,MATCH($A17,'Por secao'!$V$2:$V$29,0))</f>
        <v/>
      </c>
      <c r="C17" s="11">
        <f>IF(INDEX('Por secao'!$L$2:$L$29,MATCH($A17,'Por secao'!$V$2:$V$29,0))="","—",INDEX('Por secao'!$L$2:$L$29,MATCH($A17,'Por secao'!$V$2:$V$29,0)))</f>
        <v/>
      </c>
      <c r="D17" s="37">
        <f>INDEX('Por secao'!$P$2:$P$29,MATCH($A17,'Por secao'!$V$2:$V$29,0))</f>
        <v/>
      </c>
      <c r="E17" s="37">
        <f>INDEX('Por secao'!$N$2:$N$29,MATCH($A17,'Por secao'!$V$2:$V$29,0))</f>
        <v/>
      </c>
      <c r="F17" s="37">
        <f>INDEX('Por secao'!$Q$2:$Q$29,MATCH($A17,'Por secao'!$V$2:$V$29,0))</f>
        <v/>
      </c>
      <c r="G17" s="38">
        <f>INDEX('Por secao'!$S$2:$S$29,MATCH($A17,'Por secao'!$V$2:$V$29,0))</f>
        <v/>
      </c>
      <c r="H17" s="39">
        <f>INDEX('Por secao'!$T$2:$T$29,MATCH($A17,'Por secao'!$V$2:$V$29,0))</f>
        <v/>
      </c>
      <c r="I17" s="40">
        <f>INDEX('Por secao'!$U$2:$U$29,MATCH($A17,'Por secao'!$V$2:$V$29,0))</f>
        <v/>
      </c>
      <c r="J17" s="11">
        <f>INDEX('Por secao'!$W$2:$W$29,MATCH($A17,'Por secao'!$V$2:$V$29,0))</f>
        <v/>
      </c>
    </row>
    <row r="18">
      <c r="A18" s="11" t="n">
        <v>17</v>
      </c>
      <c r="B18" s="11">
        <f>INDEX('Por secao'!$A$2:$A$29,MATCH($A18,'Por secao'!$V$2:$V$29,0))</f>
        <v/>
      </c>
      <c r="C18" s="11">
        <f>IF(INDEX('Por secao'!$L$2:$L$29,MATCH($A18,'Por secao'!$V$2:$V$29,0))="","—",INDEX('Por secao'!$L$2:$L$29,MATCH($A18,'Por secao'!$V$2:$V$29,0)))</f>
        <v/>
      </c>
      <c r="D18" s="37">
        <f>INDEX('Por secao'!$P$2:$P$29,MATCH($A18,'Por secao'!$V$2:$V$29,0))</f>
        <v/>
      </c>
      <c r="E18" s="37">
        <f>INDEX('Por secao'!$N$2:$N$29,MATCH($A18,'Por secao'!$V$2:$V$29,0))</f>
        <v/>
      </c>
      <c r="F18" s="37">
        <f>INDEX('Por secao'!$Q$2:$Q$29,MATCH($A18,'Por secao'!$V$2:$V$29,0))</f>
        <v/>
      </c>
      <c r="G18" s="38">
        <f>INDEX('Por secao'!$S$2:$S$29,MATCH($A18,'Por secao'!$V$2:$V$29,0))</f>
        <v/>
      </c>
      <c r="H18" s="39">
        <f>INDEX('Por secao'!$T$2:$T$29,MATCH($A18,'Por secao'!$V$2:$V$29,0))</f>
        <v/>
      </c>
      <c r="I18" s="40">
        <f>INDEX('Por secao'!$U$2:$U$29,MATCH($A18,'Por secao'!$V$2:$V$29,0))</f>
        <v/>
      </c>
      <c r="J18" s="11">
        <f>INDEX('Por secao'!$W$2:$W$29,MATCH($A18,'Por secao'!$V$2:$V$29,0))</f>
        <v/>
      </c>
    </row>
    <row r="19">
      <c r="A19" s="11" t="n">
        <v>18</v>
      </c>
      <c r="B19" s="11">
        <f>INDEX('Por secao'!$A$2:$A$29,MATCH($A19,'Por secao'!$V$2:$V$29,0))</f>
        <v/>
      </c>
      <c r="C19" s="11">
        <f>IF(INDEX('Por secao'!$L$2:$L$29,MATCH($A19,'Por secao'!$V$2:$V$29,0))="","—",INDEX('Por secao'!$L$2:$L$29,MATCH($A19,'Por secao'!$V$2:$V$29,0)))</f>
        <v/>
      </c>
      <c r="D19" s="37">
        <f>INDEX('Por secao'!$P$2:$P$29,MATCH($A19,'Por secao'!$V$2:$V$29,0))</f>
        <v/>
      </c>
      <c r="E19" s="37">
        <f>INDEX('Por secao'!$N$2:$N$29,MATCH($A19,'Por secao'!$V$2:$V$29,0))</f>
        <v/>
      </c>
      <c r="F19" s="37">
        <f>INDEX('Por secao'!$Q$2:$Q$29,MATCH($A19,'Por secao'!$V$2:$V$29,0))</f>
        <v/>
      </c>
      <c r="G19" s="38">
        <f>INDEX('Por secao'!$S$2:$S$29,MATCH($A19,'Por secao'!$V$2:$V$29,0))</f>
        <v/>
      </c>
      <c r="H19" s="39">
        <f>INDEX('Por secao'!$T$2:$T$29,MATCH($A19,'Por secao'!$V$2:$V$29,0))</f>
        <v/>
      </c>
      <c r="I19" s="40">
        <f>INDEX('Por secao'!$U$2:$U$29,MATCH($A19,'Por secao'!$V$2:$V$29,0))</f>
        <v/>
      </c>
      <c r="J19" s="11">
        <f>INDEX('Por secao'!$W$2:$W$29,MATCH($A19,'Por secao'!$V$2:$V$29,0))</f>
        <v/>
      </c>
    </row>
    <row r="20">
      <c r="A20" s="11" t="n">
        <v>19</v>
      </c>
      <c r="B20" s="11">
        <f>INDEX('Por secao'!$A$2:$A$29,MATCH($A20,'Por secao'!$V$2:$V$29,0))</f>
        <v/>
      </c>
      <c r="C20" s="11">
        <f>IF(INDEX('Por secao'!$L$2:$L$29,MATCH($A20,'Por secao'!$V$2:$V$29,0))="","—",INDEX('Por secao'!$L$2:$L$29,MATCH($A20,'Por secao'!$V$2:$V$29,0)))</f>
        <v/>
      </c>
      <c r="D20" s="37">
        <f>INDEX('Por secao'!$P$2:$P$29,MATCH($A20,'Por secao'!$V$2:$V$29,0))</f>
        <v/>
      </c>
      <c r="E20" s="37">
        <f>INDEX('Por secao'!$N$2:$N$29,MATCH($A20,'Por secao'!$V$2:$V$29,0))</f>
        <v/>
      </c>
      <c r="F20" s="37">
        <f>INDEX('Por secao'!$Q$2:$Q$29,MATCH($A20,'Por secao'!$V$2:$V$29,0))</f>
        <v/>
      </c>
      <c r="G20" s="38">
        <f>INDEX('Por secao'!$S$2:$S$29,MATCH($A20,'Por secao'!$V$2:$V$29,0))</f>
        <v/>
      </c>
      <c r="H20" s="39">
        <f>INDEX('Por secao'!$T$2:$T$29,MATCH($A20,'Por secao'!$V$2:$V$29,0))</f>
        <v/>
      </c>
      <c r="I20" s="40">
        <f>INDEX('Por secao'!$U$2:$U$29,MATCH($A20,'Por secao'!$V$2:$V$29,0))</f>
        <v/>
      </c>
      <c r="J20" s="11">
        <f>INDEX('Por secao'!$W$2:$W$29,MATCH($A20,'Por secao'!$V$2:$V$29,0))</f>
        <v/>
      </c>
    </row>
    <row r="21">
      <c r="A21" s="11" t="n">
        <v>20</v>
      </c>
      <c r="B21" s="11">
        <f>INDEX('Por secao'!$A$2:$A$29,MATCH($A21,'Por secao'!$V$2:$V$29,0))</f>
        <v/>
      </c>
      <c r="C21" s="11">
        <f>IF(INDEX('Por secao'!$L$2:$L$29,MATCH($A21,'Por secao'!$V$2:$V$29,0))="","—",INDEX('Por secao'!$L$2:$L$29,MATCH($A21,'Por secao'!$V$2:$V$29,0)))</f>
        <v/>
      </c>
      <c r="D21" s="37">
        <f>INDEX('Por secao'!$P$2:$P$29,MATCH($A21,'Por secao'!$V$2:$V$29,0))</f>
        <v/>
      </c>
      <c r="E21" s="37">
        <f>INDEX('Por secao'!$N$2:$N$29,MATCH($A21,'Por secao'!$V$2:$V$29,0))</f>
        <v/>
      </c>
      <c r="F21" s="37">
        <f>INDEX('Por secao'!$Q$2:$Q$29,MATCH($A21,'Por secao'!$V$2:$V$29,0))</f>
        <v/>
      </c>
      <c r="G21" s="38">
        <f>INDEX('Por secao'!$S$2:$S$29,MATCH($A21,'Por secao'!$V$2:$V$29,0))</f>
        <v/>
      </c>
      <c r="H21" s="39">
        <f>INDEX('Por secao'!$T$2:$T$29,MATCH($A21,'Por secao'!$V$2:$V$29,0))</f>
        <v/>
      </c>
      <c r="I21" s="40">
        <f>INDEX('Por secao'!$U$2:$U$29,MATCH($A21,'Por secao'!$V$2:$V$29,0))</f>
        <v/>
      </c>
      <c r="J21" s="11">
        <f>INDEX('Por secao'!$W$2:$W$29,MATCH($A21,'Por secao'!$V$2:$V$29,0))</f>
        <v/>
      </c>
    </row>
    <row r="22">
      <c r="A22" s="11" t="n">
        <v>21</v>
      </c>
      <c r="B22" s="11">
        <f>INDEX('Por secao'!$A$2:$A$29,MATCH($A22,'Por secao'!$V$2:$V$29,0))</f>
        <v/>
      </c>
      <c r="C22" s="11">
        <f>IF(INDEX('Por secao'!$L$2:$L$29,MATCH($A22,'Por secao'!$V$2:$V$29,0))="","—",INDEX('Por secao'!$L$2:$L$29,MATCH($A22,'Por secao'!$V$2:$V$29,0)))</f>
        <v/>
      </c>
      <c r="D22" s="37">
        <f>INDEX('Por secao'!$P$2:$P$29,MATCH($A22,'Por secao'!$V$2:$V$29,0))</f>
        <v/>
      </c>
      <c r="E22" s="37">
        <f>INDEX('Por secao'!$N$2:$N$29,MATCH($A22,'Por secao'!$V$2:$V$29,0))</f>
        <v/>
      </c>
      <c r="F22" s="37">
        <f>INDEX('Por secao'!$Q$2:$Q$29,MATCH($A22,'Por secao'!$V$2:$V$29,0))</f>
        <v/>
      </c>
      <c r="G22" s="38">
        <f>INDEX('Por secao'!$S$2:$S$29,MATCH($A22,'Por secao'!$V$2:$V$29,0))</f>
        <v/>
      </c>
      <c r="H22" s="39">
        <f>INDEX('Por secao'!$T$2:$T$29,MATCH($A22,'Por secao'!$V$2:$V$29,0))</f>
        <v/>
      </c>
      <c r="I22" s="40">
        <f>INDEX('Por secao'!$U$2:$U$29,MATCH($A22,'Por secao'!$V$2:$V$29,0))</f>
        <v/>
      </c>
      <c r="J22" s="11">
        <f>INDEX('Por secao'!$W$2:$W$29,MATCH($A22,'Por secao'!$V$2:$V$29,0))</f>
        <v/>
      </c>
    </row>
    <row r="23">
      <c r="A23" s="11" t="n">
        <v>22</v>
      </c>
      <c r="B23" s="11">
        <f>INDEX('Por secao'!$A$2:$A$29,MATCH($A23,'Por secao'!$V$2:$V$29,0))</f>
        <v/>
      </c>
      <c r="C23" s="11">
        <f>IF(INDEX('Por secao'!$L$2:$L$29,MATCH($A23,'Por secao'!$V$2:$V$29,0))="","—",INDEX('Por secao'!$L$2:$L$29,MATCH($A23,'Por secao'!$V$2:$V$29,0)))</f>
        <v/>
      </c>
      <c r="D23" s="37">
        <f>INDEX('Por secao'!$P$2:$P$29,MATCH($A23,'Por secao'!$V$2:$V$29,0))</f>
        <v/>
      </c>
      <c r="E23" s="37">
        <f>INDEX('Por secao'!$N$2:$N$29,MATCH($A23,'Por secao'!$V$2:$V$29,0))</f>
        <v/>
      </c>
      <c r="F23" s="37">
        <f>INDEX('Por secao'!$Q$2:$Q$29,MATCH($A23,'Por secao'!$V$2:$V$29,0))</f>
        <v/>
      </c>
      <c r="G23" s="38">
        <f>INDEX('Por secao'!$S$2:$S$29,MATCH($A23,'Por secao'!$V$2:$V$29,0))</f>
        <v/>
      </c>
      <c r="H23" s="39">
        <f>INDEX('Por secao'!$T$2:$T$29,MATCH($A23,'Por secao'!$V$2:$V$29,0))</f>
        <v/>
      </c>
      <c r="I23" s="40">
        <f>INDEX('Por secao'!$U$2:$U$29,MATCH($A23,'Por secao'!$V$2:$V$29,0))</f>
        <v/>
      </c>
      <c r="J23" s="11">
        <f>INDEX('Por secao'!$W$2:$W$29,MATCH($A23,'Por secao'!$V$2:$V$29,0))</f>
        <v/>
      </c>
    </row>
    <row r="24">
      <c r="A24" s="11" t="n">
        <v>23</v>
      </c>
      <c r="B24" s="11">
        <f>INDEX('Por secao'!$A$2:$A$29,MATCH($A24,'Por secao'!$V$2:$V$29,0))</f>
        <v/>
      </c>
      <c r="C24" s="11">
        <f>IF(INDEX('Por secao'!$L$2:$L$29,MATCH($A24,'Por secao'!$V$2:$V$29,0))="","—",INDEX('Por secao'!$L$2:$L$29,MATCH($A24,'Por secao'!$V$2:$V$29,0)))</f>
        <v/>
      </c>
      <c r="D24" s="37">
        <f>INDEX('Por secao'!$P$2:$P$29,MATCH($A24,'Por secao'!$V$2:$V$29,0))</f>
        <v/>
      </c>
      <c r="E24" s="37">
        <f>INDEX('Por secao'!$N$2:$N$29,MATCH($A24,'Por secao'!$V$2:$V$29,0))</f>
        <v/>
      </c>
      <c r="F24" s="37">
        <f>INDEX('Por secao'!$Q$2:$Q$29,MATCH($A24,'Por secao'!$V$2:$V$29,0))</f>
        <v/>
      </c>
      <c r="G24" s="38">
        <f>INDEX('Por secao'!$S$2:$S$29,MATCH($A24,'Por secao'!$V$2:$V$29,0))</f>
        <v/>
      </c>
      <c r="H24" s="39">
        <f>INDEX('Por secao'!$T$2:$T$29,MATCH($A24,'Por secao'!$V$2:$V$29,0))</f>
        <v/>
      </c>
      <c r="I24" s="40">
        <f>INDEX('Por secao'!$U$2:$U$29,MATCH($A24,'Por secao'!$V$2:$V$29,0))</f>
        <v/>
      </c>
      <c r="J24" s="11">
        <f>INDEX('Por secao'!$W$2:$W$29,MATCH($A24,'Por secao'!$V$2:$V$29,0))</f>
        <v/>
      </c>
    </row>
    <row r="25">
      <c r="A25" s="11" t="n">
        <v>24</v>
      </c>
      <c r="B25" s="11">
        <f>INDEX('Por secao'!$A$2:$A$29,MATCH($A25,'Por secao'!$V$2:$V$29,0))</f>
        <v/>
      </c>
      <c r="C25" s="11">
        <f>IF(INDEX('Por secao'!$L$2:$L$29,MATCH($A25,'Por secao'!$V$2:$V$29,0))="","—",INDEX('Por secao'!$L$2:$L$29,MATCH($A25,'Por secao'!$V$2:$V$29,0)))</f>
        <v/>
      </c>
      <c r="D25" s="37">
        <f>INDEX('Por secao'!$P$2:$P$29,MATCH($A25,'Por secao'!$V$2:$V$29,0))</f>
        <v/>
      </c>
      <c r="E25" s="37">
        <f>INDEX('Por secao'!$N$2:$N$29,MATCH($A25,'Por secao'!$V$2:$V$29,0))</f>
        <v/>
      </c>
      <c r="F25" s="37">
        <f>INDEX('Por secao'!$Q$2:$Q$29,MATCH($A25,'Por secao'!$V$2:$V$29,0))</f>
        <v/>
      </c>
      <c r="G25" s="38">
        <f>INDEX('Por secao'!$S$2:$S$29,MATCH($A25,'Por secao'!$V$2:$V$29,0))</f>
        <v/>
      </c>
      <c r="H25" s="39">
        <f>INDEX('Por secao'!$T$2:$T$29,MATCH($A25,'Por secao'!$V$2:$V$29,0))</f>
        <v/>
      </c>
      <c r="I25" s="40">
        <f>INDEX('Por secao'!$U$2:$U$29,MATCH($A25,'Por secao'!$V$2:$V$29,0))</f>
        <v/>
      </c>
      <c r="J25" s="11">
        <f>INDEX('Por secao'!$W$2:$W$29,MATCH($A25,'Por secao'!$V$2:$V$29,0))</f>
        <v/>
      </c>
    </row>
    <row r="26">
      <c r="A26" s="11" t="n">
        <v>25</v>
      </c>
      <c r="B26" s="11">
        <f>INDEX('Por secao'!$A$2:$A$29,MATCH($A26,'Por secao'!$V$2:$V$29,0))</f>
        <v/>
      </c>
      <c r="C26" s="11">
        <f>IF(INDEX('Por secao'!$L$2:$L$29,MATCH($A26,'Por secao'!$V$2:$V$29,0))="","—",INDEX('Por secao'!$L$2:$L$29,MATCH($A26,'Por secao'!$V$2:$V$29,0)))</f>
        <v/>
      </c>
      <c r="D26" s="37">
        <f>INDEX('Por secao'!$P$2:$P$29,MATCH($A26,'Por secao'!$V$2:$V$29,0))</f>
        <v/>
      </c>
      <c r="E26" s="37">
        <f>INDEX('Por secao'!$N$2:$N$29,MATCH($A26,'Por secao'!$V$2:$V$29,0))</f>
        <v/>
      </c>
      <c r="F26" s="37">
        <f>INDEX('Por secao'!$Q$2:$Q$29,MATCH($A26,'Por secao'!$V$2:$V$29,0))</f>
        <v/>
      </c>
      <c r="G26" s="38">
        <f>INDEX('Por secao'!$S$2:$S$29,MATCH($A26,'Por secao'!$V$2:$V$29,0))</f>
        <v/>
      </c>
      <c r="H26" s="39">
        <f>INDEX('Por secao'!$T$2:$T$29,MATCH($A26,'Por secao'!$V$2:$V$29,0))</f>
        <v/>
      </c>
      <c r="I26" s="40">
        <f>INDEX('Por secao'!$U$2:$U$29,MATCH($A26,'Por secao'!$V$2:$V$29,0))</f>
        <v/>
      </c>
      <c r="J26" s="11">
        <f>INDEX('Por secao'!$W$2:$W$29,MATCH($A26,'Por secao'!$V$2:$V$29,0))</f>
        <v/>
      </c>
    </row>
    <row r="27">
      <c r="A27" s="11" t="n">
        <v>26</v>
      </c>
      <c r="B27" s="11">
        <f>INDEX('Por secao'!$A$2:$A$29,MATCH($A27,'Por secao'!$V$2:$V$29,0))</f>
        <v/>
      </c>
      <c r="C27" s="11">
        <f>IF(INDEX('Por secao'!$L$2:$L$29,MATCH($A27,'Por secao'!$V$2:$V$29,0))="","—",INDEX('Por secao'!$L$2:$L$29,MATCH($A27,'Por secao'!$V$2:$V$29,0)))</f>
        <v/>
      </c>
      <c r="D27" s="37">
        <f>INDEX('Por secao'!$P$2:$P$29,MATCH($A27,'Por secao'!$V$2:$V$29,0))</f>
        <v/>
      </c>
      <c r="E27" s="37">
        <f>INDEX('Por secao'!$N$2:$N$29,MATCH($A27,'Por secao'!$V$2:$V$29,0))</f>
        <v/>
      </c>
      <c r="F27" s="37">
        <f>INDEX('Por secao'!$Q$2:$Q$29,MATCH($A27,'Por secao'!$V$2:$V$29,0))</f>
        <v/>
      </c>
      <c r="G27" s="38">
        <f>INDEX('Por secao'!$S$2:$S$29,MATCH($A27,'Por secao'!$V$2:$V$29,0))</f>
        <v/>
      </c>
      <c r="H27" s="39">
        <f>INDEX('Por secao'!$T$2:$T$29,MATCH($A27,'Por secao'!$V$2:$V$29,0))</f>
        <v/>
      </c>
      <c r="I27" s="40">
        <f>INDEX('Por secao'!$U$2:$U$29,MATCH($A27,'Por secao'!$V$2:$V$29,0))</f>
        <v/>
      </c>
      <c r="J27" s="11">
        <f>INDEX('Por secao'!$W$2:$W$29,MATCH($A27,'Por secao'!$V$2:$V$29,0))</f>
        <v/>
      </c>
    </row>
    <row r="28">
      <c r="A28" s="11" t="n">
        <v>27</v>
      </c>
      <c r="B28" s="11">
        <f>INDEX('Por secao'!$A$2:$A$29,MATCH($A28,'Por secao'!$V$2:$V$29,0))</f>
        <v/>
      </c>
      <c r="C28" s="11">
        <f>IF(INDEX('Por secao'!$L$2:$L$29,MATCH($A28,'Por secao'!$V$2:$V$29,0))="","—",INDEX('Por secao'!$L$2:$L$29,MATCH($A28,'Por secao'!$V$2:$V$29,0)))</f>
        <v/>
      </c>
      <c r="D28" s="37">
        <f>INDEX('Por secao'!$P$2:$P$29,MATCH($A28,'Por secao'!$V$2:$V$29,0))</f>
        <v/>
      </c>
      <c r="E28" s="37">
        <f>INDEX('Por secao'!$N$2:$N$29,MATCH($A28,'Por secao'!$V$2:$V$29,0))</f>
        <v/>
      </c>
      <c r="F28" s="37">
        <f>INDEX('Por secao'!$Q$2:$Q$29,MATCH($A28,'Por secao'!$V$2:$V$29,0))</f>
        <v/>
      </c>
      <c r="G28" s="38">
        <f>INDEX('Por secao'!$S$2:$S$29,MATCH($A28,'Por secao'!$V$2:$V$29,0))</f>
        <v/>
      </c>
      <c r="H28" s="39">
        <f>INDEX('Por secao'!$T$2:$T$29,MATCH($A28,'Por secao'!$V$2:$V$29,0))</f>
        <v/>
      </c>
      <c r="I28" s="40">
        <f>INDEX('Por secao'!$U$2:$U$29,MATCH($A28,'Por secao'!$V$2:$V$29,0))</f>
        <v/>
      </c>
      <c r="J28" s="11">
        <f>INDEX('Por secao'!$W$2:$W$29,MATCH($A28,'Por secao'!$V$2:$V$29,0))</f>
        <v/>
      </c>
    </row>
    <row r="29">
      <c r="A29" s="11" t="n">
        <v>28</v>
      </c>
      <c r="B29" s="11">
        <f>INDEX('Por secao'!$A$2:$A$29,MATCH($A29,'Por secao'!$V$2:$V$29,0))</f>
        <v/>
      </c>
      <c r="C29" s="11">
        <f>IF(INDEX('Por secao'!$L$2:$L$29,MATCH($A29,'Por secao'!$V$2:$V$29,0))="","—",INDEX('Por secao'!$L$2:$L$29,MATCH($A29,'Por secao'!$V$2:$V$29,0)))</f>
        <v/>
      </c>
      <c r="D29" s="37">
        <f>INDEX('Por secao'!$P$2:$P$29,MATCH($A29,'Por secao'!$V$2:$V$29,0))</f>
        <v/>
      </c>
      <c r="E29" s="37">
        <f>INDEX('Por secao'!$N$2:$N$29,MATCH($A29,'Por secao'!$V$2:$V$29,0))</f>
        <v/>
      </c>
      <c r="F29" s="37">
        <f>INDEX('Por secao'!$Q$2:$Q$29,MATCH($A29,'Por secao'!$V$2:$V$29,0))</f>
        <v/>
      </c>
      <c r="G29" s="38">
        <f>INDEX('Por secao'!$S$2:$S$29,MATCH($A29,'Por secao'!$V$2:$V$29,0))</f>
        <v/>
      </c>
      <c r="H29" s="39">
        <f>INDEX('Por secao'!$T$2:$T$29,MATCH($A29,'Por secao'!$V$2:$V$29,0))</f>
        <v/>
      </c>
      <c r="I29" s="40">
        <f>INDEX('Por secao'!$U$2:$U$29,MATCH($A29,'Por secao'!$V$2:$V$29,0))</f>
        <v/>
      </c>
      <c r="J29" s="11">
        <f>INDEX('Por secao'!$W$2:$W$29,MATCH($A29,'Por secao'!$V$2:$V$29,0))</f>
        <v/>
      </c>
    </row>
    <row r="31">
      <c r="A31" t="inlineStr">
        <is>
          <t>Ordenado por comparecimento efetivo (BUs de 04/10/2026), da urna mais movimentada para a menos. Empates desfeitos pela ordem das seções. Alimentado por 'Por secao'!V.</t>
        </is>
      </c>
    </row>
  </sheetData>
  <conditionalFormatting sqref="F2:F29">
    <cfRule type="expression" priority="1" dxfId="25">
      <formula>$J2="Alto"</formula>
    </cfRule>
    <cfRule type="expression" priority="2" dxfId="26">
      <formula>$J2="Médio"</formula>
    </cfRule>
    <cfRule type="expression" priority="3" dxfId="27">
      <formula>$J2="Baixo"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2026-09-22T17:36:25Z</dcterms:created>
  <dcterms:modified xmlns:dcterms="http://purl.org/dc/terms/" xmlns:xsi="http://www.w3.org/2001/XMLSchema-instance" xsi:type="dcterms:W3CDTF">2026-10-06T15:34:43Z</dcterms:modified>
  <cp:lastModifiedBy>Hamad Mota Kalaf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0x010100975F954B7D72B645B4C0A5F040EF7123</vt:lpwstr>
  </property>
  <property name="MediaServiceImageTags" fmtid="{D5CDD505-2E9C-101B-9397-08002B2CF9AE}" pid="3">
    <vt:lpwstr xmlns:vt="http://schemas.openxmlformats.org/officeDocument/2006/docPropsVTypes"/>
  </property>
</Properties>
</file>