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município" sheetId="1" state="visible" r:id="rId1"/>
    <sheet xmlns:r="http://schemas.openxmlformats.org/officeDocument/2006/relationships" name="Dublin x planejamento" sheetId="2" state="visible" r:id="rId2"/>
    <sheet xmlns:r="http://schemas.openxmlformats.org/officeDocument/2006/relationships" name="Conferência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'Por município'!$A$4:$H$169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7F6000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Exterior — 1º turno, 04/10/2026 (Presidente): total de eleitores e comparecimento por município</t>
        </is>
      </c>
    </row>
    <row r="2">
      <c r="A2" s="2" t="inlineStr">
        <is>
          <t>Fonte: TSE, Relatório Resultado da Totalização (SISTOT), Anexo I. ATENÇÃO: o anexo lista só seções com registro de ocorrência; os valores por município são, portanto, piso (ver aba "Conferência").</t>
        </is>
      </c>
    </row>
    <row r="4" ht="32" customHeight="1">
      <c r="A4" s="3" t="inlineStr">
        <is>
          <t>#</t>
        </is>
      </c>
      <c r="B4" s="3" t="inlineStr">
        <is>
          <t>Cód. TSE</t>
        </is>
      </c>
      <c r="C4" s="3" t="inlineStr">
        <is>
          <t>Município</t>
        </is>
      </c>
      <c r="D4" s="3" t="inlineStr">
        <is>
          <t>Seções principais</t>
        </is>
      </c>
      <c r="E4" s="3" t="inlineStr">
        <is>
          <t>Total de eleitores</t>
        </is>
      </c>
      <c r="F4" s="3" t="inlineStr">
        <is>
          <t>Comparecimento</t>
        </is>
      </c>
      <c r="G4" s="3" t="inlineStr">
        <is>
          <t>Abstenção</t>
        </is>
      </c>
      <c r="H4" s="3" t="inlineStr">
        <is>
          <t>% comparecimento</t>
        </is>
      </c>
    </row>
    <row r="5">
      <c r="A5" t="n">
        <v>1</v>
      </c>
      <c r="B5" t="n">
        <v>29955</v>
      </c>
      <c r="C5" t="inlineStr">
        <is>
          <t>LISBOA</t>
        </is>
      </c>
      <c r="D5" s="4" t="n">
        <v>103</v>
      </c>
      <c r="E5" s="4" t="n">
        <v>78607</v>
      </c>
      <c r="F5" s="4" t="n">
        <v>28643</v>
      </c>
      <c r="G5" s="4">
        <f>E5-F5</f>
        <v/>
      </c>
      <c r="H5" s="5">
        <f>IF(E5=0,0,F5/E5)</f>
        <v/>
      </c>
    </row>
    <row r="6">
      <c r="A6" t="n">
        <v>2</v>
      </c>
      <c r="B6" t="n">
        <v>30341</v>
      </c>
      <c r="C6" t="inlineStr">
        <is>
          <t>PORTO</t>
        </is>
      </c>
      <c r="D6" s="4" t="n">
        <v>58</v>
      </c>
      <c r="E6" s="4" t="n">
        <v>45891</v>
      </c>
      <c r="F6" s="4" t="n">
        <v>19510</v>
      </c>
      <c r="G6" s="4">
        <f>E6-F6</f>
        <v/>
      </c>
      <c r="H6" s="5">
        <f>IF(E6=0,0,F6/E6)</f>
        <v/>
      </c>
    </row>
    <row r="7">
      <c r="A7" t="n">
        <v>3</v>
      </c>
      <c r="B7" t="n">
        <v>30198</v>
      </c>
      <c r="C7" t="inlineStr">
        <is>
          <t>NAGÓIA</t>
        </is>
      </c>
      <c r="D7" s="4" t="n">
        <v>58</v>
      </c>
      <c r="E7" s="4" t="n">
        <v>44536</v>
      </c>
      <c r="F7" s="4" t="n">
        <v>16317</v>
      </c>
      <c r="G7" s="4">
        <f>E7-F7</f>
        <v/>
      </c>
      <c r="H7" s="5">
        <f>IF(E7=0,0,F7/E7)</f>
        <v/>
      </c>
    </row>
    <row r="8">
      <c r="A8" t="n">
        <v>4</v>
      </c>
      <c r="B8" t="n">
        <v>29416</v>
      </c>
      <c r="C8" t="inlineStr">
        <is>
          <t>BOSTON</t>
        </is>
      </c>
      <c r="D8" s="4" t="n">
        <v>67</v>
      </c>
      <c r="E8" s="4" t="n">
        <v>52562</v>
      </c>
      <c r="F8" s="4" t="n">
        <v>16194</v>
      </c>
      <c r="G8" s="4">
        <f>E8-F8</f>
        <v/>
      </c>
      <c r="H8" s="5">
        <f>IF(E8=0,0,F8/E8)</f>
        <v/>
      </c>
    </row>
    <row r="9">
      <c r="A9" t="n">
        <v>5</v>
      </c>
      <c r="B9" t="n">
        <v>29971</v>
      </c>
      <c r="C9" t="inlineStr">
        <is>
          <t>LONDRES</t>
        </is>
      </c>
      <c r="D9" s="4" t="n">
        <v>47</v>
      </c>
      <c r="E9" s="4" t="n">
        <v>37052</v>
      </c>
      <c r="F9" s="4" t="n">
        <v>14586</v>
      </c>
      <c r="G9" s="4">
        <f>E9-F9</f>
        <v/>
      </c>
      <c r="H9" s="5">
        <f>IF(E9=0,0,F9/E9)</f>
        <v/>
      </c>
    </row>
    <row r="10">
      <c r="A10" t="n">
        <v>6</v>
      </c>
      <c r="B10" t="n">
        <v>30627</v>
      </c>
      <c r="C10" t="inlineStr">
        <is>
          <t>TÓQUIO</t>
        </is>
      </c>
      <c r="D10" s="4" t="n">
        <v>42</v>
      </c>
      <c r="E10" s="4" t="n">
        <v>29640</v>
      </c>
      <c r="F10" s="4" t="n">
        <v>13166</v>
      </c>
      <c r="G10" s="4">
        <f>E10-F10</f>
        <v/>
      </c>
      <c r="H10" s="5">
        <f>IF(E10=0,0,F10/E10)</f>
        <v/>
      </c>
    </row>
    <row r="11">
      <c r="A11" t="n">
        <v>7</v>
      </c>
      <c r="B11" t="n">
        <v>30112</v>
      </c>
      <c r="C11" t="inlineStr">
        <is>
          <t>MIAMI</t>
        </is>
      </c>
      <c r="D11" s="4" t="n">
        <v>50</v>
      </c>
      <c r="E11" s="4" t="n">
        <v>39654</v>
      </c>
      <c r="F11" s="4" t="n">
        <v>12166</v>
      </c>
      <c r="G11" s="4">
        <f>E11-F11</f>
        <v/>
      </c>
      <c r="H11" s="5">
        <f>IF(E11=0,0,F11/E11)</f>
        <v/>
      </c>
    </row>
    <row r="12">
      <c r="A12" t="n">
        <v>8</v>
      </c>
      <c r="B12" t="n">
        <v>30287</v>
      </c>
      <c r="C12" t="inlineStr">
        <is>
          <t>PARIS</t>
        </is>
      </c>
      <c r="D12" s="4" t="n">
        <v>34</v>
      </c>
      <c r="E12" s="4" t="n">
        <v>26957</v>
      </c>
      <c r="F12" s="4" t="n">
        <v>10540</v>
      </c>
      <c r="G12" s="4">
        <f>E12-F12</f>
        <v/>
      </c>
      <c r="H12" s="5">
        <f>IF(E12=0,0,F12/E12)</f>
        <v/>
      </c>
    </row>
    <row r="13">
      <c r="A13" t="n">
        <v>9</v>
      </c>
      <c r="B13" t="n">
        <v>30228</v>
      </c>
      <c r="C13" t="inlineStr">
        <is>
          <t>NOVA YORK</t>
        </is>
      </c>
      <c r="D13" s="4" t="n">
        <v>53</v>
      </c>
      <c r="E13" s="4" t="n">
        <v>38953</v>
      </c>
      <c r="F13" s="4" t="n">
        <v>10134</v>
      </c>
      <c r="G13" s="4">
        <f>E13-F13</f>
        <v/>
      </c>
      <c r="H13" s="5">
        <f>IF(E13=0,0,F13/E13)</f>
        <v/>
      </c>
    </row>
    <row r="14">
      <c r="A14" t="n">
        <v>10</v>
      </c>
      <c r="B14" t="n">
        <v>99490</v>
      </c>
      <c r="C14" t="inlineStr">
        <is>
          <t>ORLANDO</t>
        </is>
      </c>
      <c r="D14" s="4" t="n">
        <v>34</v>
      </c>
      <c r="E14" s="4" t="n">
        <v>26386</v>
      </c>
      <c r="F14" s="4" t="n">
        <v>8994</v>
      </c>
      <c r="G14" s="4">
        <f>E14-F14</f>
        <v/>
      </c>
      <c r="H14" s="5">
        <f>IF(E14=0,0,F14/E14)</f>
        <v/>
      </c>
    </row>
    <row r="15">
      <c r="A15" t="n">
        <v>11</v>
      </c>
      <c r="B15" t="n">
        <v>30635</v>
      </c>
      <c r="C15" t="inlineStr">
        <is>
          <t>TORONTO</t>
        </is>
      </c>
      <c r="D15" s="4" t="n">
        <v>27</v>
      </c>
      <c r="E15" s="4" t="n">
        <v>20559</v>
      </c>
      <c r="F15" s="4" t="n">
        <v>8748</v>
      </c>
      <c r="G15" s="4">
        <f>E15-F15</f>
        <v/>
      </c>
      <c r="H15" s="5">
        <f>IF(E15=0,0,F15/E15)</f>
        <v/>
      </c>
    </row>
    <row r="16">
      <c r="A16" t="n">
        <v>12</v>
      </c>
      <c r="B16" t="n">
        <v>29386</v>
      </c>
      <c r="C16" t="inlineStr">
        <is>
          <t>BERLIM</t>
        </is>
      </c>
      <c r="D16" s="4" t="n">
        <v>20</v>
      </c>
      <c r="E16" s="4" t="n">
        <v>15066</v>
      </c>
      <c r="F16" s="4" t="n">
        <v>8204</v>
      </c>
      <c r="G16" s="4">
        <f>E16-F16</f>
        <v/>
      </c>
      <c r="H16" s="5">
        <f>IF(E16=0,0,F16/E16)</f>
        <v/>
      </c>
    </row>
    <row r="17">
      <c r="A17" t="n">
        <v>13</v>
      </c>
      <c r="B17" t="n">
        <v>30120</v>
      </c>
      <c r="C17" t="inlineStr">
        <is>
          <t>MILÃO</t>
        </is>
      </c>
      <c r="D17" s="4" t="n">
        <v>37</v>
      </c>
      <c r="E17" s="4" t="n">
        <v>24594</v>
      </c>
      <c r="F17" s="4" t="n">
        <v>7455</v>
      </c>
      <c r="G17" s="4">
        <f>E17-F17</f>
        <v/>
      </c>
      <c r="H17" s="5">
        <f>IF(E17=0,0,F17/E17)</f>
        <v/>
      </c>
    </row>
    <row r="18">
      <c r="A18" s="6" t="n">
        <v>14</v>
      </c>
      <c r="B18" s="6" t="n">
        <v>29661</v>
      </c>
      <c r="C18" s="6" t="inlineStr">
        <is>
          <t>DUBLIN</t>
        </is>
      </c>
      <c r="D18" s="7" t="n">
        <v>23</v>
      </c>
      <c r="E18" s="7" t="n">
        <v>14729</v>
      </c>
      <c r="F18" s="7" t="n">
        <v>7206</v>
      </c>
      <c r="G18" s="7">
        <f>E18-F18</f>
        <v/>
      </c>
      <c r="H18" s="8">
        <f>IF(E18=0,0,F18/E18)</f>
        <v/>
      </c>
    </row>
    <row r="19">
      <c r="A19" t="n">
        <v>15</v>
      </c>
      <c r="B19" t="n">
        <v>29742</v>
      </c>
      <c r="C19" t="inlineStr">
        <is>
          <t>HAMAMATSU</t>
        </is>
      </c>
      <c r="D19" s="4" t="n">
        <v>18</v>
      </c>
      <c r="E19" s="4" t="n">
        <v>13729</v>
      </c>
      <c r="F19" s="4" t="n">
        <v>6918</v>
      </c>
      <c r="G19" s="4">
        <f>E19-F19</f>
        <v/>
      </c>
      <c r="H19" s="5">
        <f>IF(E19=0,0,F19/E19)</f>
        <v/>
      </c>
    </row>
    <row r="20">
      <c r="A20" t="n">
        <v>16</v>
      </c>
      <c r="B20" t="n">
        <v>30066</v>
      </c>
      <c r="C20" t="inlineStr">
        <is>
          <t>MADRI</t>
        </is>
      </c>
      <c r="D20" s="4" t="n">
        <v>29</v>
      </c>
      <c r="E20" s="4" t="n">
        <v>23065</v>
      </c>
      <c r="F20" s="4" t="n">
        <v>6738</v>
      </c>
      <c r="G20" s="4">
        <f>E20-F20</f>
        <v/>
      </c>
      <c r="H20" s="5">
        <f>IF(E20=0,0,F20/E20)</f>
        <v/>
      </c>
    </row>
    <row r="21">
      <c r="A21" t="n">
        <v>17</v>
      </c>
      <c r="B21" t="n">
        <v>30457</v>
      </c>
      <c r="C21" t="inlineStr">
        <is>
          <t>AMSTERDÃ</t>
        </is>
      </c>
      <c r="D21" s="4" t="n">
        <v>16</v>
      </c>
      <c r="E21" s="4" t="n">
        <v>12357</v>
      </c>
      <c r="F21" s="4" t="n">
        <v>6235</v>
      </c>
      <c r="G21" s="4">
        <f>E21-F21</f>
        <v/>
      </c>
      <c r="H21" s="5">
        <f>IF(E21=0,0,F21/E21)</f>
        <v/>
      </c>
    </row>
    <row r="22">
      <c r="A22" t="n">
        <v>18</v>
      </c>
      <c r="B22" t="n">
        <v>30864</v>
      </c>
      <c r="C22" t="inlineStr">
        <is>
          <t>ZURIQUE</t>
        </is>
      </c>
      <c r="D22" s="4" t="n">
        <v>19</v>
      </c>
      <c r="E22" s="4" t="n">
        <v>15099</v>
      </c>
      <c r="F22" s="4" t="n">
        <v>6001</v>
      </c>
      <c r="G22" s="4">
        <f>E22-F22</f>
        <v/>
      </c>
      <c r="H22" s="5">
        <f>IF(E22=0,0,F22/E22)</f>
        <v/>
      </c>
    </row>
    <row r="23">
      <c r="A23" t="n">
        <v>19</v>
      </c>
      <c r="B23" t="n">
        <v>39063</v>
      </c>
      <c r="C23" t="inlineStr">
        <is>
          <t>VANCOUVER</t>
        </is>
      </c>
      <c r="D23" s="4" t="n">
        <v>16</v>
      </c>
      <c r="E23" s="4" t="n">
        <v>12082</v>
      </c>
      <c r="F23" s="4" t="n">
        <v>5912</v>
      </c>
      <c r="G23" s="4">
        <f>E23-F23</f>
        <v/>
      </c>
      <c r="H23" s="5">
        <f>IF(E23=0,0,F23/E23)</f>
        <v/>
      </c>
    </row>
    <row r="24">
      <c r="A24" t="n">
        <v>20</v>
      </c>
      <c r="B24" t="n">
        <v>30155</v>
      </c>
      <c r="C24" t="inlineStr">
        <is>
          <t>MONTREAL</t>
        </is>
      </c>
      <c r="D24" s="4" t="n">
        <v>14</v>
      </c>
      <c r="E24" s="4" t="n">
        <v>10559</v>
      </c>
      <c r="F24" s="4" t="n">
        <v>5900</v>
      </c>
      <c r="G24" s="4">
        <f>E24-F24</f>
        <v/>
      </c>
      <c r="H24" s="5">
        <f>IF(E24=0,0,F24/E24)</f>
        <v/>
      </c>
    </row>
    <row r="25">
      <c r="A25" t="n">
        <v>21</v>
      </c>
      <c r="B25" t="n">
        <v>29696</v>
      </c>
      <c r="C25" t="inlineStr">
        <is>
          <t>FRANKFURT</t>
        </is>
      </c>
      <c r="D25" s="4" t="n">
        <v>21</v>
      </c>
      <c r="E25" s="4" t="n">
        <v>12961</v>
      </c>
      <c r="F25" s="4" t="n">
        <v>5619</v>
      </c>
      <c r="G25" s="4">
        <f>E25-F25</f>
        <v/>
      </c>
      <c r="H25" s="5">
        <f>IF(E25=0,0,F25/E25)</f>
        <v/>
      </c>
    </row>
    <row r="26">
      <c r="A26" t="n">
        <v>22</v>
      </c>
      <c r="B26" t="n">
        <v>30562</v>
      </c>
      <c r="C26" t="inlineStr">
        <is>
          <t>SYDNEY</t>
        </is>
      </c>
      <c r="D26" s="4" t="n">
        <v>18</v>
      </c>
      <c r="E26" s="4" t="n">
        <v>13631</v>
      </c>
      <c r="F26" s="4" t="n">
        <v>5465</v>
      </c>
      <c r="G26" s="4">
        <f>E26-F26</f>
        <v/>
      </c>
      <c r="H26" s="5">
        <f>IF(E26=0,0,F26/E26)</f>
        <v/>
      </c>
    </row>
    <row r="27">
      <c r="A27" t="n">
        <v>23</v>
      </c>
      <c r="B27" t="n">
        <v>29467</v>
      </c>
      <c r="C27" t="inlineStr">
        <is>
          <t>BUENOS AIRES</t>
        </is>
      </c>
      <c r="D27" s="4" t="n">
        <v>15</v>
      </c>
      <c r="E27" s="4" t="n">
        <v>11748</v>
      </c>
      <c r="F27" s="4" t="n">
        <v>5435</v>
      </c>
      <c r="G27" s="4">
        <f>E27-F27</f>
        <v/>
      </c>
      <c r="H27" s="5">
        <f>IF(E27=0,0,F27/E27)</f>
        <v/>
      </c>
    </row>
    <row r="28">
      <c r="A28" t="n">
        <v>24</v>
      </c>
      <c r="B28" t="n">
        <v>30180</v>
      </c>
      <c r="C28" t="inlineStr">
        <is>
          <t>MUNIQUE</t>
        </is>
      </c>
      <c r="D28" s="4" t="n">
        <v>21</v>
      </c>
      <c r="E28" s="4" t="n">
        <v>13374</v>
      </c>
      <c r="F28" s="4" t="n">
        <v>5423</v>
      </c>
      <c r="G28" s="4">
        <f>E28-F28</f>
        <v/>
      </c>
      <c r="H28" s="5">
        <f>IF(E28=0,0,F28/E28)</f>
        <v/>
      </c>
    </row>
    <row r="29">
      <c r="A29" t="n">
        <v>25</v>
      </c>
      <c r="B29" t="n">
        <v>29700</v>
      </c>
      <c r="C29" t="inlineStr">
        <is>
          <t>GENEBRA</t>
        </is>
      </c>
      <c r="D29" s="4" t="n">
        <v>15</v>
      </c>
      <c r="E29" s="4" t="n">
        <v>11883</v>
      </c>
      <c r="F29" s="4" t="n">
        <v>5237</v>
      </c>
      <c r="G29" s="4">
        <f>E29-F29</f>
        <v/>
      </c>
      <c r="H29" s="5">
        <f>IF(E29=0,0,F29/E29)</f>
        <v/>
      </c>
    </row>
    <row r="30">
      <c r="A30" t="n">
        <v>26</v>
      </c>
      <c r="B30" t="n">
        <v>29351</v>
      </c>
      <c r="C30" t="inlineStr">
        <is>
          <t>BARCELONA</t>
        </is>
      </c>
      <c r="D30" s="4" t="n">
        <v>22</v>
      </c>
      <c r="E30" s="4" t="n">
        <v>17254</v>
      </c>
      <c r="F30" s="4" t="n">
        <v>5185</v>
      </c>
      <c r="G30" s="4">
        <f>E30-F30</f>
        <v/>
      </c>
      <c r="H30" s="5">
        <f>IF(E30=0,0,F30/E30)</f>
        <v/>
      </c>
    </row>
    <row r="31">
      <c r="A31" t="n">
        <v>27</v>
      </c>
      <c r="B31" t="n">
        <v>39080</v>
      </c>
      <c r="C31" t="inlineStr">
        <is>
          <t>ATLANTA</t>
        </is>
      </c>
      <c r="D31" s="4" t="n">
        <v>21</v>
      </c>
      <c r="E31" s="4" t="n">
        <v>15908</v>
      </c>
      <c r="F31" s="4" t="n">
        <v>4885</v>
      </c>
      <c r="G31" s="4">
        <f>E31-F31</f>
        <v/>
      </c>
      <c r="H31" s="5">
        <f>IF(E31=0,0,F31/E31)</f>
        <v/>
      </c>
    </row>
    <row r="32">
      <c r="A32" t="n">
        <v>28</v>
      </c>
      <c r="B32" t="n">
        <v>29432</v>
      </c>
      <c r="C32" t="inlineStr">
        <is>
          <t>BRUXELAS</t>
        </is>
      </c>
      <c r="D32" s="4" t="n">
        <v>13</v>
      </c>
      <c r="E32" s="4" t="n">
        <v>9673</v>
      </c>
      <c r="F32" s="4" t="n">
        <v>4873</v>
      </c>
      <c r="G32" s="4">
        <f>E32-F32</f>
        <v/>
      </c>
      <c r="H32" s="5">
        <f>IF(E32=0,0,F32/E32)</f>
        <v/>
      </c>
    </row>
    <row r="33">
      <c r="A33" t="n">
        <v>29</v>
      </c>
      <c r="B33" t="n">
        <v>30783</v>
      </c>
      <c r="C33" t="inlineStr">
        <is>
          <t>WASHINGTON</t>
        </is>
      </c>
      <c r="D33" s="4" t="n">
        <v>30</v>
      </c>
      <c r="E33" s="4" t="n">
        <v>17915</v>
      </c>
      <c r="F33" s="4" t="n">
        <v>4721</v>
      </c>
      <c r="G33" s="4">
        <f>E33-F33</f>
        <v/>
      </c>
      <c r="H33" s="5">
        <f>IF(E33=0,0,F33/E33)</f>
        <v/>
      </c>
    </row>
    <row r="34">
      <c r="A34" t="n">
        <v>30</v>
      </c>
      <c r="B34" t="n">
        <v>30449</v>
      </c>
      <c r="C34" t="inlineStr">
        <is>
          <t>ROMA</t>
        </is>
      </c>
      <c r="D34" s="4" t="n">
        <v>21</v>
      </c>
      <c r="E34" s="4" t="n">
        <v>13932</v>
      </c>
      <c r="F34" s="4" t="n">
        <v>4542</v>
      </c>
      <c r="G34" s="4">
        <f>E34-F34</f>
        <v/>
      </c>
      <c r="H34" s="5">
        <f>IF(E34=0,0,F34/E34)</f>
        <v/>
      </c>
    </row>
    <row r="35">
      <c r="A35" t="n">
        <v>31</v>
      </c>
      <c r="B35" t="n">
        <v>29980</v>
      </c>
      <c r="C35" t="inlineStr">
        <is>
          <t>LOS ANGELES</t>
        </is>
      </c>
      <c r="D35" s="4" t="n">
        <v>24</v>
      </c>
      <c r="E35" s="4" t="n">
        <v>17876</v>
      </c>
      <c r="F35" s="4" t="n">
        <v>4489</v>
      </c>
      <c r="G35" s="4">
        <f>E35-F35</f>
        <v/>
      </c>
      <c r="H35" s="5">
        <f>IF(E35=0,0,F35/E35)</f>
        <v/>
      </c>
    </row>
    <row r="36">
      <c r="A36" t="n">
        <v>32</v>
      </c>
      <c r="B36" t="n">
        <v>29807</v>
      </c>
      <c r="C36" t="inlineStr">
        <is>
          <t>HOUSTON</t>
        </is>
      </c>
      <c r="D36" s="4" t="n">
        <v>22</v>
      </c>
      <c r="E36" s="4" t="n">
        <v>16068</v>
      </c>
      <c r="F36" s="4" t="n">
        <v>4381</v>
      </c>
      <c r="G36" s="4">
        <f>E36-F36</f>
        <v/>
      </c>
      <c r="H36" s="5">
        <f>IF(E36=0,0,F36/E36)</f>
        <v/>
      </c>
    </row>
    <row r="37">
      <c r="A37" t="n">
        <v>33</v>
      </c>
      <c r="B37" t="n">
        <v>30503</v>
      </c>
      <c r="C37" t="inlineStr">
        <is>
          <t>SÃO FRANCISCO</t>
        </is>
      </c>
      <c r="D37" s="4" t="n">
        <v>20</v>
      </c>
      <c r="E37" s="4" t="n">
        <v>15492</v>
      </c>
      <c r="F37" s="4" t="n">
        <v>3896</v>
      </c>
      <c r="G37" s="4">
        <f>E37-F37</f>
        <v/>
      </c>
      <c r="H37" s="5">
        <f>IF(E37=0,0,F37/E37)</f>
        <v/>
      </c>
    </row>
    <row r="38">
      <c r="A38" t="n">
        <v>34</v>
      </c>
      <c r="B38" t="n">
        <v>29360</v>
      </c>
      <c r="C38" t="inlineStr">
        <is>
          <t>BEIRUTE</t>
        </is>
      </c>
      <c r="D38" s="4" t="n">
        <v>11</v>
      </c>
      <c r="E38" s="4" t="n">
        <v>8128</v>
      </c>
      <c r="F38" s="4" t="n">
        <v>3790</v>
      </c>
      <c r="G38" s="4">
        <f>E38-F38</f>
        <v/>
      </c>
      <c r="H38" s="5">
        <f>IF(E38=0,0,F38/E38)</f>
        <v/>
      </c>
    </row>
    <row r="39">
      <c r="A39" t="n">
        <v>35</v>
      </c>
      <c r="B39" t="n">
        <v>29513</v>
      </c>
      <c r="C39" t="inlineStr">
        <is>
          <t>CHICAGO</t>
        </is>
      </c>
      <c r="D39" s="4" t="n">
        <v>18</v>
      </c>
      <c r="E39" s="4" t="n">
        <v>12452</v>
      </c>
      <c r="F39" s="4" t="n">
        <v>2779</v>
      </c>
      <c r="G39" s="4">
        <f>E39-F39</f>
        <v/>
      </c>
      <c r="H39" s="5">
        <f>IF(E39=0,0,F39/E39)</f>
        <v/>
      </c>
    </row>
    <row r="40">
      <c r="A40" t="n">
        <v>36</v>
      </c>
      <c r="B40" t="n">
        <v>29556</v>
      </c>
      <c r="C40" t="inlineStr">
        <is>
          <t>CIUDAD DEL ESTE</t>
        </is>
      </c>
      <c r="D40" s="4" t="n">
        <v>7</v>
      </c>
      <c r="E40" s="4" t="n">
        <v>5094</v>
      </c>
      <c r="F40" s="4" t="n">
        <v>2586</v>
      </c>
      <c r="G40" s="4">
        <f>E40-F40</f>
        <v/>
      </c>
      <c r="H40" s="5">
        <f>IF(E40=0,0,F40/E40)</f>
        <v/>
      </c>
    </row>
    <row r="41">
      <c r="A41" t="n">
        <v>37</v>
      </c>
      <c r="B41" t="n">
        <v>30961</v>
      </c>
      <c r="C41" t="inlineStr">
        <is>
          <t>FARO</t>
        </is>
      </c>
      <c r="D41" s="4" t="n">
        <v>10</v>
      </c>
      <c r="E41" s="4" t="n">
        <v>7872</v>
      </c>
      <c r="F41" s="4" t="n">
        <v>2575</v>
      </c>
      <c r="G41" s="4">
        <f>E41-F41</f>
        <v/>
      </c>
      <c r="H41" s="5">
        <f>IF(E41=0,0,F41/E41)</f>
        <v/>
      </c>
    </row>
    <row r="42">
      <c r="A42" t="n">
        <v>38</v>
      </c>
      <c r="B42" t="n">
        <v>29688</v>
      </c>
      <c r="C42" t="inlineStr">
        <is>
          <t>ESTOCOLMO</t>
        </is>
      </c>
      <c r="D42" s="4" t="n">
        <v>6</v>
      </c>
      <c r="E42" s="4" t="n">
        <v>4470</v>
      </c>
      <c r="F42" s="4" t="n">
        <v>2342</v>
      </c>
      <c r="G42" s="4">
        <f>E42-F42</f>
        <v/>
      </c>
      <c r="H42" s="5">
        <f>IF(E42=0,0,F42/E42)</f>
        <v/>
      </c>
    </row>
    <row r="43">
      <c r="A43" t="n">
        <v>39</v>
      </c>
      <c r="B43" t="n">
        <v>29491</v>
      </c>
      <c r="C43" t="inlineStr">
        <is>
          <t>CAMBERRA</t>
        </is>
      </c>
      <c r="D43" s="4" t="n">
        <v>7</v>
      </c>
      <c r="E43" s="4" t="n">
        <v>5180</v>
      </c>
      <c r="F43" s="4" t="n">
        <v>2244</v>
      </c>
      <c r="G43" s="4">
        <f>E43-F43</f>
        <v/>
      </c>
      <c r="H43" s="5">
        <f>IF(E43=0,0,F43/E43)</f>
        <v/>
      </c>
    </row>
    <row r="44">
      <c r="A44" t="n">
        <v>40</v>
      </c>
      <c r="B44" t="n">
        <v>30481</v>
      </c>
      <c r="C44" t="inlineStr">
        <is>
          <t>SANTIAGO</t>
        </is>
      </c>
      <c r="D44" s="4" t="n">
        <v>5</v>
      </c>
      <c r="E44" s="4" t="n">
        <v>3551</v>
      </c>
      <c r="F44" s="4" t="n">
        <v>2069</v>
      </c>
      <c r="G44" s="4">
        <f>E44-F44</f>
        <v/>
      </c>
      <c r="H44" s="5">
        <f>IF(E44=0,0,F44/E44)</f>
        <v/>
      </c>
    </row>
    <row r="45">
      <c r="A45" t="n">
        <v>41</v>
      </c>
      <c r="B45" t="n">
        <v>30902</v>
      </c>
      <c r="C45" t="inlineStr">
        <is>
          <t>HARTFORD</t>
        </is>
      </c>
      <c r="D45" s="4" t="n">
        <v>11</v>
      </c>
      <c r="E45" s="4" t="n">
        <v>8781</v>
      </c>
      <c r="F45" s="4" t="n">
        <v>1922</v>
      </c>
      <c r="G45" s="4">
        <f>E45-F45</f>
        <v/>
      </c>
      <c r="H45" s="5">
        <f>IF(E45=0,0,F45/E45)</f>
        <v/>
      </c>
    </row>
    <row r="46">
      <c r="A46" t="n">
        <v>42</v>
      </c>
      <c r="B46" t="n">
        <v>29599</v>
      </c>
      <c r="C46" t="inlineStr">
        <is>
          <t>COPENHAGUE</t>
        </is>
      </c>
      <c r="D46" s="4" t="n">
        <v>4</v>
      </c>
      <c r="E46" s="4" t="n">
        <v>2856</v>
      </c>
      <c r="F46" s="4" t="n">
        <v>1522</v>
      </c>
      <c r="G46" s="4">
        <f>E46-F46</f>
        <v/>
      </c>
      <c r="H46" s="5">
        <f>IF(E46=0,0,F46/E46)</f>
        <v/>
      </c>
    </row>
    <row r="47">
      <c r="A47" t="n">
        <v>43</v>
      </c>
      <c r="B47" t="n">
        <v>30767</v>
      </c>
      <c r="C47" t="inlineStr">
        <is>
          <t>VIENA</t>
        </is>
      </c>
      <c r="D47" s="4" t="n">
        <v>4</v>
      </c>
      <c r="E47" s="4" t="n">
        <v>2787</v>
      </c>
      <c r="F47" s="4" t="n">
        <v>1345</v>
      </c>
      <c r="G47" s="4">
        <f>E47-F47</f>
        <v/>
      </c>
      <c r="H47" s="5">
        <f>IF(E47=0,0,F47/E47)</f>
        <v/>
      </c>
    </row>
    <row r="48">
      <c r="A48" t="n">
        <v>44</v>
      </c>
      <c r="B48" t="n">
        <v>30104</v>
      </c>
      <c r="C48" t="inlineStr">
        <is>
          <t>MEXICO</t>
        </is>
      </c>
      <c r="D48" s="4" t="n">
        <v>6</v>
      </c>
      <c r="E48" s="4" t="n">
        <v>3958</v>
      </c>
      <c r="F48" s="4" t="n">
        <v>1315</v>
      </c>
      <c r="G48" s="4">
        <f>E48-F48</f>
        <v/>
      </c>
      <c r="H48" s="5">
        <f>IF(E48=0,0,F48/E48)</f>
        <v/>
      </c>
    </row>
    <row r="49">
      <c r="A49" t="n">
        <v>45</v>
      </c>
      <c r="B49" t="n">
        <v>30473</v>
      </c>
      <c r="C49" t="inlineStr">
        <is>
          <t>SANTA CRUZ DE LA SIERRA</t>
        </is>
      </c>
      <c r="D49" s="4" t="n">
        <v>4</v>
      </c>
      <c r="E49" s="4" t="n">
        <v>2462</v>
      </c>
      <c r="F49" s="4" t="n">
        <v>1298</v>
      </c>
      <c r="G49" s="4">
        <f>E49-F49</f>
        <v/>
      </c>
      <c r="H49" s="5">
        <f>IF(E49=0,0,F49/E49)</f>
        <v/>
      </c>
    </row>
    <row r="50">
      <c r="A50" t="n">
        <v>46</v>
      </c>
      <c r="B50" t="n">
        <v>30252</v>
      </c>
      <c r="C50" t="inlineStr">
        <is>
          <t>OTTAWA</t>
        </is>
      </c>
      <c r="D50" s="4" t="n">
        <v>3</v>
      </c>
      <c r="E50" s="4" t="n">
        <v>2000</v>
      </c>
      <c r="F50" s="4" t="n">
        <v>1235</v>
      </c>
      <c r="G50" s="4">
        <f>E50-F50</f>
        <v/>
      </c>
      <c r="H50" s="5">
        <f>IF(E50=0,0,F50/E50)</f>
        <v/>
      </c>
    </row>
    <row r="51">
      <c r="A51" t="n">
        <v>47</v>
      </c>
      <c r="B51" t="n">
        <v>29262</v>
      </c>
      <c r="C51" t="inlineStr">
        <is>
          <t>ABU DHABI</t>
        </is>
      </c>
      <c r="D51" s="4" t="n">
        <v>4</v>
      </c>
      <c r="E51" s="4" t="n">
        <v>2595</v>
      </c>
      <c r="F51" s="4" t="n">
        <v>1221</v>
      </c>
      <c r="G51" s="4">
        <f>E51-F51</f>
        <v/>
      </c>
      <c r="H51" s="5">
        <f>IF(E51=0,0,F51/E51)</f>
        <v/>
      </c>
    </row>
    <row r="52">
      <c r="A52" t="n">
        <v>48</v>
      </c>
      <c r="B52" t="n">
        <v>30414</v>
      </c>
      <c r="C52" t="inlineStr">
        <is>
          <t>RAMALLAH</t>
        </is>
      </c>
      <c r="D52" s="4" t="n">
        <v>3</v>
      </c>
      <c r="E52" s="4" t="n">
        <v>2135</v>
      </c>
      <c r="F52" s="4" t="n">
        <v>1202</v>
      </c>
      <c r="G52" s="4">
        <f>E52-F52</f>
        <v/>
      </c>
      <c r="H52" s="5">
        <f>IF(E52=0,0,F52/E52)</f>
        <v/>
      </c>
    </row>
    <row r="53">
      <c r="A53" t="n">
        <v>49</v>
      </c>
      <c r="B53" t="n">
        <v>30147</v>
      </c>
      <c r="C53" t="inlineStr">
        <is>
          <t>MONTEVIDÉU</t>
        </is>
      </c>
      <c r="D53" s="4" t="n">
        <v>3</v>
      </c>
      <c r="E53" s="4" t="n">
        <v>2096</v>
      </c>
      <c r="F53" s="4" t="n">
        <v>1188</v>
      </c>
      <c r="G53" s="4">
        <f>E53-F53</f>
        <v/>
      </c>
      <c r="H53" s="5">
        <f>IF(E53=0,0,F53/E53)</f>
        <v/>
      </c>
    </row>
    <row r="54">
      <c r="A54" t="n">
        <v>50</v>
      </c>
      <c r="B54" t="n">
        <v>29475</v>
      </c>
      <c r="C54" t="inlineStr">
        <is>
          <t>CAIENA</t>
        </is>
      </c>
      <c r="D54" s="4" t="n">
        <v>5</v>
      </c>
      <c r="E54" s="4" t="n">
        <v>3117</v>
      </c>
      <c r="F54" s="4" t="n">
        <v>1152</v>
      </c>
      <c r="G54" s="4">
        <f>E54-F54</f>
        <v/>
      </c>
      <c r="H54" s="5">
        <f>IF(E54=0,0,F54/E54)</f>
        <v/>
      </c>
    </row>
    <row r="55">
      <c r="A55" t="n">
        <v>51</v>
      </c>
      <c r="B55" t="n">
        <v>29327</v>
      </c>
      <c r="C55" t="inlineStr">
        <is>
          <t>ASSUNÇÃO</t>
        </is>
      </c>
      <c r="D55" s="4" t="n">
        <v>4</v>
      </c>
      <c r="E55" s="4" t="n">
        <v>2205</v>
      </c>
      <c r="F55" s="4" t="n">
        <v>1151</v>
      </c>
      <c r="G55" s="4">
        <f>E55-F55</f>
        <v/>
      </c>
      <c r="H55" s="5">
        <f>IF(E55=0,0,F55/E55)</f>
        <v/>
      </c>
    </row>
    <row r="56">
      <c r="A56" t="n">
        <v>52</v>
      </c>
      <c r="B56" t="n">
        <v>30244</v>
      </c>
      <c r="C56" t="inlineStr">
        <is>
          <t>OSLO</t>
        </is>
      </c>
      <c r="D56" s="4" t="n">
        <v>3</v>
      </c>
      <c r="E56" s="4" t="n">
        <v>2185</v>
      </c>
      <c r="F56" s="4" t="n">
        <v>909</v>
      </c>
      <c r="G56" s="4">
        <f>E56-F56</f>
        <v/>
      </c>
      <c r="H56" s="5">
        <f>IF(E56=0,0,F56/E56)</f>
        <v/>
      </c>
    </row>
    <row r="57">
      <c r="A57" t="n">
        <v>53</v>
      </c>
      <c r="B57" t="n">
        <v>29289</v>
      </c>
      <c r="C57" t="inlineStr">
        <is>
          <t>AMÃ</t>
        </is>
      </c>
      <c r="D57" s="4" t="n">
        <v>2</v>
      </c>
      <c r="E57" s="4" t="n">
        <v>1489</v>
      </c>
      <c r="F57" s="4" t="n">
        <v>833</v>
      </c>
      <c r="G57" s="4">
        <f>E57-F57</f>
        <v/>
      </c>
      <c r="H57" s="5">
        <f>IF(E57=0,0,F57/E57)</f>
        <v/>
      </c>
    </row>
    <row r="58">
      <c r="A58" t="n">
        <v>54</v>
      </c>
      <c r="B58" t="n">
        <v>29785</v>
      </c>
      <c r="C58" t="inlineStr">
        <is>
          <t>HELSINQUE</t>
        </is>
      </c>
      <c r="D58" s="4" t="n">
        <v>2</v>
      </c>
      <c r="E58" s="4" t="n">
        <v>1278</v>
      </c>
      <c r="F58" s="4" t="n">
        <v>718</v>
      </c>
      <c r="G58" s="4">
        <f>E58-F58</f>
        <v/>
      </c>
      <c r="H58" s="5">
        <f>IF(E58=0,0,F58/E58)</f>
        <v/>
      </c>
    </row>
    <row r="59">
      <c r="A59" t="n">
        <v>55</v>
      </c>
      <c r="B59" t="n">
        <v>99511</v>
      </c>
      <c r="C59" t="inlineStr">
        <is>
          <t>MARSELHA</t>
        </is>
      </c>
      <c r="D59" s="4" t="n">
        <v>3</v>
      </c>
      <c r="E59" s="4" t="n">
        <v>2266</v>
      </c>
      <c r="F59" s="4" t="n">
        <v>697</v>
      </c>
      <c r="G59" s="4">
        <f>E59-F59</f>
        <v/>
      </c>
      <c r="H59" s="5">
        <f>IF(E59=0,0,F59/E59)</f>
        <v/>
      </c>
    </row>
    <row r="60">
      <c r="A60" t="n">
        <v>56</v>
      </c>
      <c r="B60" t="n">
        <v>99503</v>
      </c>
      <c r="C60" t="inlineStr">
        <is>
          <t>EDIMBURGO</t>
        </is>
      </c>
      <c r="D60" s="4" t="n">
        <v>6</v>
      </c>
      <c r="E60" s="4" t="n">
        <v>4447</v>
      </c>
      <c r="F60" s="4" t="n">
        <v>694</v>
      </c>
      <c r="G60" s="4">
        <f>E60-F60</f>
        <v/>
      </c>
      <c r="H60" s="5">
        <f>IF(E60=0,0,F60/E60)</f>
        <v/>
      </c>
    </row>
    <row r="61">
      <c r="A61" t="n">
        <v>57</v>
      </c>
      <c r="B61" t="n">
        <v>30260</v>
      </c>
      <c r="C61" t="inlineStr">
        <is>
          <t>PANAMA</t>
        </is>
      </c>
      <c r="D61" s="4" t="n">
        <v>2</v>
      </c>
      <c r="E61" s="4" t="n">
        <v>1399</v>
      </c>
      <c r="F61" s="4" t="n">
        <v>677</v>
      </c>
      <c r="G61" s="4">
        <f>E61-F61</f>
        <v/>
      </c>
      <c r="H61" s="5">
        <f>IF(E61=0,0,F61/E61)</f>
        <v/>
      </c>
    </row>
    <row r="62">
      <c r="A62" t="n">
        <v>58</v>
      </c>
      <c r="B62" t="n">
        <v>30619</v>
      </c>
      <c r="C62" t="inlineStr">
        <is>
          <t>TEL AVIV</t>
        </is>
      </c>
      <c r="D62" s="4" t="n">
        <v>4</v>
      </c>
      <c r="E62" s="4" t="n">
        <v>3058</v>
      </c>
      <c r="F62" s="4" t="n">
        <v>630</v>
      </c>
      <c r="G62" s="4">
        <f>E62-F62</f>
        <v/>
      </c>
      <c r="H62" s="5">
        <f>IF(E62=0,0,F62/E62)</f>
        <v/>
      </c>
    </row>
    <row r="63">
      <c r="A63" t="n">
        <v>59</v>
      </c>
      <c r="B63" t="n">
        <v>29947</v>
      </c>
      <c r="C63" t="inlineStr">
        <is>
          <t>LIMA</t>
        </is>
      </c>
      <c r="D63" s="4" t="n">
        <v>2</v>
      </c>
      <c r="E63" s="4" t="n">
        <v>1247</v>
      </c>
      <c r="F63" s="4" t="n">
        <v>570</v>
      </c>
      <c r="G63" s="4">
        <f>E63-F63</f>
        <v/>
      </c>
      <c r="H63" s="5">
        <f>IF(E63=0,0,F63/E63)</f>
        <v/>
      </c>
    </row>
    <row r="64">
      <c r="A64" t="n">
        <v>60</v>
      </c>
      <c r="B64" t="n">
        <v>30279</v>
      </c>
      <c r="C64" t="inlineStr">
        <is>
          <t>PARAMARIBO</t>
        </is>
      </c>
      <c r="D64" s="4" t="n">
        <v>3</v>
      </c>
      <c r="E64" s="4" t="n">
        <v>1430</v>
      </c>
      <c r="F64" s="4" t="n">
        <v>560</v>
      </c>
      <c r="G64" s="4">
        <f>E64-F64</f>
        <v/>
      </c>
      <c r="H64" s="5">
        <f>IF(E64=0,0,F64/E64)</f>
        <v/>
      </c>
    </row>
    <row r="65">
      <c r="A65" t="n">
        <v>61</v>
      </c>
      <c r="B65" t="n">
        <v>29408</v>
      </c>
      <c r="C65" t="inlineStr">
        <is>
          <t>BOGOTÁ</t>
        </is>
      </c>
      <c r="D65" s="4" t="n">
        <v>2</v>
      </c>
      <c r="E65" s="4" t="n">
        <v>1499</v>
      </c>
      <c r="F65" s="4" t="n">
        <v>556</v>
      </c>
      <c r="G65" s="4">
        <f>E65-F65</f>
        <v/>
      </c>
      <c r="H65" s="5">
        <f>IF(E65=0,0,F65/E65)</f>
        <v/>
      </c>
    </row>
    <row r="66">
      <c r="A66" t="n">
        <v>62</v>
      </c>
      <c r="B66" t="n">
        <v>29335</v>
      </c>
      <c r="C66" t="inlineStr">
        <is>
          <t>ATENAS</t>
        </is>
      </c>
      <c r="D66" s="4" t="n">
        <v>2</v>
      </c>
      <c r="E66" s="4" t="n">
        <v>1211</v>
      </c>
      <c r="F66" s="4" t="n">
        <v>508</v>
      </c>
      <c r="G66" s="4">
        <f>E66-F66</f>
        <v/>
      </c>
      <c r="H66" s="5">
        <f>IF(E66=0,0,F66/E66)</f>
        <v/>
      </c>
    </row>
    <row r="67">
      <c r="A67" t="n">
        <v>63</v>
      </c>
      <c r="B67" t="n">
        <v>30350</v>
      </c>
      <c r="C67" t="inlineStr">
        <is>
          <t>PRAGA</t>
        </is>
      </c>
      <c r="D67" s="4" t="n">
        <v>1</v>
      </c>
      <c r="E67" s="4" t="n">
        <v>690</v>
      </c>
      <c r="F67" s="4" t="n">
        <v>411</v>
      </c>
      <c r="G67" s="4">
        <f>E67-F67</f>
        <v/>
      </c>
      <c r="H67" s="5">
        <f>IF(E67=0,0,F67/E67)</f>
        <v/>
      </c>
    </row>
    <row r="68">
      <c r="A68" t="n">
        <v>64</v>
      </c>
      <c r="B68" t="n">
        <v>29319</v>
      </c>
      <c r="C68" t="inlineStr">
        <is>
          <t>ARTIGAS</t>
        </is>
      </c>
      <c r="D68" s="4" t="n">
        <v>1</v>
      </c>
      <c r="E68" s="4" t="n">
        <v>611</v>
      </c>
      <c r="F68" s="4" t="n">
        <v>385</v>
      </c>
      <c r="G68" s="4">
        <f>E68-F68</f>
        <v/>
      </c>
      <c r="H68" s="5">
        <f>IF(E68=0,0,F68/E68)</f>
        <v/>
      </c>
    </row>
    <row r="69">
      <c r="A69" t="n">
        <v>65</v>
      </c>
      <c r="B69" t="n">
        <v>29602</v>
      </c>
      <c r="C69" t="inlineStr">
        <is>
          <t>CÓRDOBA</t>
        </is>
      </c>
      <c r="D69" s="4" t="n">
        <v>2</v>
      </c>
      <c r="E69" s="4" t="n">
        <v>918</v>
      </c>
      <c r="F69" s="4" t="n">
        <v>376</v>
      </c>
      <c r="G69" s="4">
        <f>E69-F69</f>
        <v/>
      </c>
      <c r="H69" s="5">
        <f>IF(E69=0,0,F69/E69)</f>
        <v/>
      </c>
    </row>
    <row r="70">
      <c r="A70" t="n">
        <v>66</v>
      </c>
      <c r="B70" t="n">
        <v>30511</v>
      </c>
      <c r="C70" t="inlineStr">
        <is>
          <t>SÃO JOSÉ</t>
        </is>
      </c>
      <c r="D70" s="4" t="n">
        <v>1</v>
      </c>
      <c r="E70" s="4" t="n">
        <v>714</v>
      </c>
      <c r="F70" s="4" t="n">
        <v>376</v>
      </c>
      <c r="G70" s="4">
        <f>E70-F70</f>
        <v/>
      </c>
      <c r="H70" s="5">
        <f>IF(E70=0,0,F70/E70)</f>
        <v/>
      </c>
    </row>
    <row r="71">
      <c r="A71" t="n">
        <v>67</v>
      </c>
      <c r="B71" t="n">
        <v>29653</v>
      </c>
      <c r="C71" t="inlineStr">
        <is>
          <t>DOHA</t>
        </is>
      </c>
      <c r="D71" s="4" t="n">
        <v>1</v>
      </c>
      <c r="E71" s="4" t="n">
        <v>758</v>
      </c>
      <c r="F71" s="4" t="n">
        <v>364</v>
      </c>
      <c r="G71" s="4">
        <f>E71-F71</f>
        <v/>
      </c>
      <c r="H71" s="5">
        <f>IF(E71=0,0,F71/E71)</f>
        <v/>
      </c>
    </row>
    <row r="72">
      <c r="A72" t="n">
        <v>68</v>
      </c>
      <c r="B72" t="n">
        <v>29548</v>
      </c>
      <c r="C72" t="inlineStr">
        <is>
          <t>SINGAPURA</t>
        </is>
      </c>
      <c r="D72" s="4" t="n">
        <v>2</v>
      </c>
      <c r="E72" s="4" t="n">
        <v>864</v>
      </c>
      <c r="F72" s="4" t="n">
        <v>364</v>
      </c>
      <c r="G72" s="4">
        <f>E72-F72</f>
        <v/>
      </c>
      <c r="H72" s="5">
        <f>IF(E72=0,0,F72/E72)</f>
        <v/>
      </c>
    </row>
    <row r="73">
      <c r="A73" t="n">
        <v>69</v>
      </c>
      <c r="B73" t="n">
        <v>30392</v>
      </c>
      <c r="C73" t="inlineStr">
        <is>
          <t>QUITO</t>
        </is>
      </c>
      <c r="D73" s="4" t="n">
        <v>2</v>
      </c>
      <c r="E73" s="4" t="n">
        <v>993</v>
      </c>
      <c r="F73" s="4" t="n">
        <v>343</v>
      </c>
      <c r="G73" s="4">
        <f>E73-F73</f>
        <v/>
      </c>
      <c r="H73" s="5">
        <f>IF(E73=0,0,F73/E73)</f>
        <v/>
      </c>
    </row>
    <row r="74">
      <c r="A74" t="n">
        <v>70</v>
      </c>
      <c r="B74" t="n">
        <v>30465</v>
      </c>
      <c r="C74" t="inlineStr">
        <is>
          <t>SALTO DEL GUAIRÁ</t>
        </is>
      </c>
      <c r="D74" s="4" t="n">
        <v>1</v>
      </c>
      <c r="E74" s="4" t="n">
        <v>554</v>
      </c>
      <c r="F74" s="4" t="n">
        <v>343</v>
      </c>
      <c r="G74" s="4">
        <f>E74-F74</f>
        <v/>
      </c>
      <c r="H74" s="5">
        <f>IF(E74=0,0,F74/E74)</f>
        <v/>
      </c>
    </row>
    <row r="75">
      <c r="A75" t="n">
        <v>71</v>
      </c>
      <c r="B75" t="n">
        <v>30309</v>
      </c>
      <c r="C75" t="inlineStr">
        <is>
          <t>PEDRO JUAN CABALLERO</t>
        </is>
      </c>
      <c r="D75" s="4" t="n">
        <v>1</v>
      </c>
      <c r="E75" s="4" t="n">
        <v>650</v>
      </c>
      <c r="F75" s="4" t="n">
        <v>323</v>
      </c>
      <c r="G75" s="4">
        <f>E75-F75</f>
        <v/>
      </c>
      <c r="H75" s="5">
        <f>IF(E75=0,0,F75/E75)</f>
        <v/>
      </c>
    </row>
    <row r="76">
      <c r="A76" t="n">
        <v>72</v>
      </c>
      <c r="B76" t="n">
        <v>29459</v>
      </c>
      <c r="C76" t="inlineStr">
        <is>
          <t>BUDAPESTE</t>
        </is>
      </c>
      <c r="D76" s="4" t="n">
        <v>1</v>
      </c>
      <c r="E76" s="4" t="n">
        <v>540</v>
      </c>
      <c r="F76" s="4" t="n">
        <v>296</v>
      </c>
      <c r="G76" s="4">
        <f>E76-F76</f>
        <v/>
      </c>
      <c r="H76" s="5">
        <f>IF(E76=0,0,F76/E76)</f>
        <v/>
      </c>
    </row>
    <row r="77">
      <c r="A77" t="n">
        <v>73</v>
      </c>
      <c r="B77" t="n">
        <v>30740</v>
      </c>
      <c r="C77" t="inlineStr">
        <is>
          <t>VARSÓVIA</t>
        </is>
      </c>
      <c r="D77" s="4" t="n">
        <v>1</v>
      </c>
      <c r="E77" s="4" t="n">
        <v>748</v>
      </c>
      <c r="F77" s="4" t="n">
        <v>291</v>
      </c>
      <c r="G77" s="4">
        <f>E77-F77</f>
        <v/>
      </c>
      <c r="H77" s="5">
        <f>IF(E77=0,0,F77/E77)</f>
        <v/>
      </c>
    </row>
    <row r="78">
      <c r="A78" t="n">
        <v>74</v>
      </c>
      <c r="B78" t="n">
        <v>29998</v>
      </c>
      <c r="C78" t="inlineStr">
        <is>
          <t>LUANDA</t>
        </is>
      </c>
      <c r="D78" s="4" t="n">
        <v>1</v>
      </c>
      <c r="E78" s="4" t="n">
        <v>716</v>
      </c>
      <c r="F78" s="4" t="n">
        <v>270</v>
      </c>
      <c r="G78" s="4">
        <f>E78-F78</f>
        <v/>
      </c>
      <c r="H78" s="5">
        <f>IF(E78=0,0,F78/E78)</f>
        <v/>
      </c>
    </row>
    <row r="79">
      <c r="A79" t="n">
        <v>75</v>
      </c>
      <c r="B79" t="n">
        <v>30376</v>
      </c>
      <c r="C79" t="inlineStr">
        <is>
          <t>PRETÓRIA</t>
        </is>
      </c>
      <c r="D79" s="4" t="n">
        <v>1</v>
      </c>
      <c r="E79" s="4" t="n">
        <v>657</v>
      </c>
      <c r="F79" s="4" t="n">
        <v>265</v>
      </c>
      <c r="G79" s="4">
        <f>E79-F79</f>
        <v/>
      </c>
      <c r="H79" s="5">
        <f>IF(E79=0,0,F79/E79)</f>
        <v/>
      </c>
    </row>
    <row r="80">
      <c r="A80" t="n">
        <v>76</v>
      </c>
      <c r="B80" t="n">
        <v>29793</v>
      </c>
      <c r="C80" t="inlineStr">
        <is>
          <t>HONG KONG</t>
        </is>
      </c>
      <c r="D80" s="4" t="n">
        <v>1</v>
      </c>
      <c r="E80" s="4" t="n">
        <v>668</v>
      </c>
      <c r="F80" s="4" t="n">
        <v>264</v>
      </c>
      <c r="G80" s="4">
        <f>E80-F80</f>
        <v/>
      </c>
      <c r="H80" s="5">
        <f>IF(E80=0,0,F80/E80)</f>
        <v/>
      </c>
    </row>
    <row r="81">
      <c r="A81" t="n">
        <v>77</v>
      </c>
      <c r="B81" t="n">
        <v>30805</v>
      </c>
      <c r="C81" t="inlineStr">
        <is>
          <t>WELLINGTON</t>
        </is>
      </c>
      <c r="D81" s="4" t="n">
        <v>4</v>
      </c>
      <c r="E81" s="4" t="n">
        <v>2794</v>
      </c>
      <c r="F81" s="4" t="n">
        <v>264</v>
      </c>
      <c r="G81" s="4">
        <f>E81-F81</f>
        <v/>
      </c>
      <c r="H81" s="5">
        <f>IF(E81=0,0,F81/E81)</f>
        <v/>
      </c>
    </row>
    <row r="82">
      <c r="A82" t="n">
        <v>78</v>
      </c>
      <c r="B82" t="n">
        <v>29904</v>
      </c>
      <c r="C82" t="inlineStr">
        <is>
          <t>LA PAZ</t>
        </is>
      </c>
      <c r="D82" s="4" t="n">
        <v>1</v>
      </c>
      <c r="E82" s="4" t="n">
        <v>418</v>
      </c>
      <c r="F82" s="4" t="n">
        <v>251</v>
      </c>
      <c r="G82" s="4">
        <f>E82-F82</f>
        <v/>
      </c>
      <c r="H82" s="5">
        <f>IF(E82=0,0,F82/E82)</f>
        <v/>
      </c>
    </row>
    <row r="83">
      <c r="A83" t="n">
        <v>79</v>
      </c>
      <c r="B83" t="n">
        <v>30570</v>
      </c>
      <c r="C83" t="inlineStr">
        <is>
          <t>TAIPÉ</t>
        </is>
      </c>
      <c r="D83" s="4" t="n">
        <v>1</v>
      </c>
      <c r="E83" s="4" t="n">
        <v>622</v>
      </c>
      <c r="F83" s="4" t="n">
        <v>231</v>
      </c>
      <c r="G83" s="4">
        <f>E83-F83</f>
        <v/>
      </c>
      <c r="H83" s="5">
        <f>IF(E83=0,0,F83/E83)</f>
        <v/>
      </c>
    </row>
    <row r="84">
      <c r="A84" t="n">
        <v>80</v>
      </c>
      <c r="B84" t="n">
        <v>30090</v>
      </c>
      <c r="C84" t="inlineStr">
        <is>
          <t>MAPUTO</t>
        </is>
      </c>
      <c r="D84" s="4" t="n">
        <v>1</v>
      </c>
      <c r="E84" s="4" t="n">
        <v>557</v>
      </c>
      <c r="F84" s="4" t="n">
        <v>228</v>
      </c>
      <c r="G84" s="4">
        <f>E84-F84</f>
        <v/>
      </c>
      <c r="H84" s="5">
        <f>IF(E84=0,0,F84/E84)</f>
        <v/>
      </c>
    </row>
    <row r="85">
      <c r="A85" t="n">
        <v>81</v>
      </c>
      <c r="B85" t="n">
        <v>30538</v>
      </c>
      <c r="C85" t="inlineStr">
        <is>
          <t>SEUL</t>
        </is>
      </c>
      <c r="D85" s="4" t="n">
        <v>1</v>
      </c>
      <c r="E85" s="4" t="n">
        <v>485</v>
      </c>
      <c r="F85" s="4" t="n">
        <v>226</v>
      </c>
      <c r="G85" s="4">
        <f>E85-F85</f>
        <v/>
      </c>
      <c r="H85" s="5">
        <f>IF(E85=0,0,F85/E85)</f>
        <v/>
      </c>
    </row>
    <row r="86">
      <c r="A86" t="n">
        <v>82</v>
      </c>
      <c r="B86" t="n">
        <v>29505</v>
      </c>
      <c r="C86" t="inlineStr">
        <is>
          <t>CARACAS</t>
        </is>
      </c>
      <c r="D86" s="4" t="n">
        <v>2</v>
      </c>
      <c r="E86" s="4" t="n">
        <v>806</v>
      </c>
      <c r="F86" s="4" t="n">
        <v>210</v>
      </c>
      <c r="G86" s="4">
        <f>E86-F86</f>
        <v/>
      </c>
      <c r="H86" s="5">
        <f>IF(E86=0,0,F86/E86)</f>
        <v/>
      </c>
    </row>
    <row r="87">
      <c r="A87" t="n">
        <v>83</v>
      </c>
      <c r="B87" t="n">
        <v>30490</v>
      </c>
      <c r="C87" t="inlineStr">
        <is>
          <t>SÃO DOMINGOS</t>
        </is>
      </c>
      <c r="D87" s="4" t="n">
        <v>1</v>
      </c>
      <c r="E87" s="4" t="n">
        <v>415</v>
      </c>
      <c r="F87" s="4" t="n">
        <v>197</v>
      </c>
      <c r="G87" s="4">
        <f>E87-F87</f>
        <v/>
      </c>
      <c r="H87" s="5">
        <f>IF(E87=0,0,F87/E87)</f>
        <v/>
      </c>
    </row>
    <row r="88">
      <c r="A88" t="n">
        <v>84</v>
      </c>
      <c r="B88" t="n">
        <v>30848</v>
      </c>
      <c r="C88" t="inlineStr">
        <is>
          <t>XANGAI</t>
        </is>
      </c>
      <c r="D88" s="4" t="n">
        <v>1</v>
      </c>
      <c r="E88" s="4" t="n">
        <v>739</v>
      </c>
      <c r="F88" s="4" t="n">
        <v>197</v>
      </c>
      <c r="G88" s="4">
        <f>E88-F88</f>
        <v/>
      </c>
      <c r="H88" s="5">
        <f>IF(E88=0,0,F88/E88)</f>
        <v/>
      </c>
    </row>
    <row r="89">
      <c r="A89" t="n">
        <v>85</v>
      </c>
      <c r="B89" t="n">
        <v>29572</v>
      </c>
      <c r="C89" t="inlineStr">
        <is>
          <t>COCHABAMBA</t>
        </is>
      </c>
      <c r="D89" s="4" t="n">
        <v>1</v>
      </c>
      <c r="E89" s="4" t="n">
        <v>412</v>
      </c>
      <c r="F89" s="4" t="n">
        <v>187</v>
      </c>
      <c r="G89" s="4">
        <f>E89-F89</f>
        <v/>
      </c>
      <c r="H89" s="5">
        <f>IF(E89=0,0,F89/E89)</f>
        <v/>
      </c>
    </row>
    <row r="90">
      <c r="A90" t="n">
        <v>86</v>
      </c>
      <c r="B90" t="n">
        <v>29637</v>
      </c>
      <c r="C90" t="inlineStr">
        <is>
          <t>DAMASCO</t>
        </is>
      </c>
      <c r="D90" s="4" t="n">
        <v>1</v>
      </c>
      <c r="E90" s="4" t="n">
        <v>775</v>
      </c>
      <c r="F90" s="4" t="n">
        <v>118</v>
      </c>
      <c r="G90" s="4">
        <f>E90-F90</f>
        <v/>
      </c>
      <c r="H90" s="5">
        <f>IF(E90=0,0,F90/E90)</f>
        <v/>
      </c>
    </row>
    <row r="91">
      <c r="A91" t="n">
        <v>87</v>
      </c>
      <c r="B91" t="n">
        <v>29343</v>
      </c>
      <c r="C91" t="inlineStr">
        <is>
          <t>BANGKOK</t>
        </is>
      </c>
      <c r="D91" s="4" t="n">
        <v>1</v>
      </c>
      <c r="E91" s="4" t="n">
        <v>310</v>
      </c>
      <c r="F91" s="4" t="n">
        <v>102</v>
      </c>
      <c r="G91" s="4">
        <f>E91-F91</f>
        <v/>
      </c>
      <c r="H91" s="5">
        <f>IF(E91=0,0,F91/E91)</f>
        <v/>
      </c>
    </row>
    <row r="92">
      <c r="A92" t="n">
        <v>88</v>
      </c>
      <c r="B92" t="n">
        <v>30651</v>
      </c>
      <c r="C92" t="inlineStr">
        <is>
          <t>CANTÃO</t>
        </is>
      </c>
      <c r="D92" s="4" t="n">
        <v>1</v>
      </c>
      <c r="E92" s="4" t="n">
        <v>419</v>
      </c>
      <c r="F92" s="4" t="n">
        <v>99</v>
      </c>
      <c r="G92" s="4">
        <f>E92-F92</f>
        <v/>
      </c>
      <c r="H92" s="5">
        <f>IF(E92=0,0,F92/E92)</f>
        <v/>
      </c>
    </row>
    <row r="93">
      <c r="A93" t="n">
        <v>89</v>
      </c>
      <c r="B93" t="n">
        <v>30163</v>
      </c>
      <c r="C93" t="inlineStr">
        <is>
          <t>MOSCOU</t>
        </is>
      </c>
      <c r="D93" s="4" t="n">
        <v>1</v>
      </c>
      <c r="E93" s="4" t="n">
        <v>252</v>
      </c>
      <c r="F93" s="4" t="n">
        <v>85</v>
      </c>
      <c r="G93" s="4">
        <f>E93-F93</f>
        <v/>
      </c>
      <c r="H93" s="5">
        <f>IF(E93=0,0,F93/E93)</f>
        <v/>
      </c>
    </row>
    <row r="94">
      <c r="A94" t="n">
        <v>90</v>
      </c>
      <c r="B94" t="n">
        <v>29890</v>
      </c>
      <c r="C94" t="inlineStr">
        <is>
          <t>KUALA LUMPUR</t>
        </is>
      </c>
      <c r="D94" s="4" t="n">
        <v>1</v>
      </c>
      <c r="E94" s="4" t="n">
        <v>170</v>
      </c>
      <c r="F94" s="4" t="n">
        <v>83</v>
      </c>
      <c r="G94" s="4">
        <f>E94-F94</f>
        <v/>
      </c>
      <c r="H94" s="5">
        <f>IF(E94=0,0,F94/E94)</f>
        <v/>
      </c>
    </row>
    <row r="95">
      <c r="A95" t="n">
        <v>91</v>
      </c>
      <c r="B95" t="n">
        <v>29610</v>
      </c>
      <c r="C95" t="inlineStr">
        <is>
          <t>DACAR</t>
        </is>
      </c>
      <c r="D95" s="4" t="n">
        <v>1</v>
      </c>
      <c r="E95" s="4" t="n">
        <v>132</v>
      </c>
      <c r="F95" s="4" t="n">
        <v>80</v>
      </c>
      <c r="G95" s="4">
        <f>E95-F95</f>
        <v/>
      </c>
      <c r="H95" s="5">
        <f>IF(E95=0,0,F95/E95)</f>
        <v/>
      </c>
    </row>
    <row r="96">
      <c r="A96" t="n">
        <v>92</v>
      </c>
      <c r="B96" t="n">
        <v>30082</v>
      </c>
      <c r="C96" t="inlineStr">
        <is>
          <t>MANILA</t>
        </is>
      </c>
      <c r="D96" s="4" t="n">
        <v>1</v>
      </c>
      <c r="E96" s="4" t="n">
        <v>229</v>
      </c>
      <c r="F96" s="4" t="n">
        <v>63</v>
      </c>
      <c r="G96" s="4">
        <f>E96-F96</f>
        <v/>
      </c>
      <c r="H96" s="5">
        <f>IF(E96=0,0,F96/E96)</f>
        <v/>
      </c>
    </row>
    <row r="97">
      <c r="A97" t="n">
        <v>93</v>
      </c>
      <c r="B97" t="n">
        <v>30210</v>
      </c>
      <c r="C97" t="inlineStr">
        <is>
          <t>NOVA DELHI</t>
        </is>
      </c>
      <c r="D97" s="4" t="n">
        <v>1</v>
      </c>
      <c r="E97" s="4" t="n">
        <v>141</v>
      </c>
      <c r="F97" s="4" t="n">
        <v>50</v>
      </c>
      <c r="G97" s="4">
        <f>E97-F97</f>
        <v/>
      </c>
      <c r="H97" s="5">
        <f>IF(E97=0,0,F97/E97)</f>
        <v/>
      </c>
    </row>
    <row r="98">
      <c r="A98" t="n">
        <v>94</v>
      </c>
      <c r="B98" t="n">
        <v>99473</v>
      </c>
      <c r="C98" t="inlineStr">
        <is>
          <t>BAREIN</t>
        </is>
      </c>
      <c r="D98" s="4" t="n">
        <v>1</v>
      </c>
      <c r="E98" s="4" t="n">
        <v>69</v>
      </c>
      <c r="F98" s="4" t="n">
        <v>49</v>
      </c>
      <c r="G98" s="4">
        <f>E98-F98</f>
        <v/>
      </c>
      <c r="H98" s="5">
        <f>IF(E98=0,0,F98/E98)</f>
        <v/>
      </c>
    </row>
    <row r="99">
      <c r="A99" t="n">
        <v>95</v>
      </c>
      <c r="B99" t="n">
        <v>30546</v>
      </c>
      <c r="C99" t="inlineStr">
        <is>
          <t>SÓFIA</t>
        </is>
      </c>
      <c r="D99" s="4" t="n">
        <v>1</v>
      </c>
      <c r="E99" s="4" t="n">
        <v>98</v>
      </c>
      <c r="F99" s="4" t="n">
        <v>49</v>
      </c>
      <c r="G99" s="4">
        <f>E99-F99</f>
        <v/>
      </c>
      <c r="H99" s="5">
        <f>IF(E99=0,0,F99/E99)</f>
        <v/>
      </c>
    </row>
    <row r="100">
      <c r="A100" t="n">
        <v>96</v>
      </c>
      <c r="B100" t="n">
        <v>29378</v>
      </c>
      <c r="C100" t="inlineStr">
        <is>
          <t>BELGRADO</t>
        </is>
      </c>
      <c r="D100" s="4" t="n">
        <v>1</v>
      </c>
      <c r="E100" s="4" t="n">
        <v>115</v>
      </c>
      <c r="F100" s="4" t="n">
        <v>48</v>
      </c>
      <c r="G100" s="4">
        <f>E100-F100</f>
        <v/>
      </c>
      <c r="H100" s="5">
        <f>IF(E100=0,0,F100/E100)</f>
        <v/>
      </c>
    </row>
    <row r="101">
      <c r="A101" t="n">
        <v>97</v>
      </c>
      <c r="B101" t="n">
        <v>29645</v>
      </c>
      <c r="C101" t="inlineStr">
        <is>
          <t>DÍLI</t>
        </is>
      </c>
      <c r="D101" s="4" t="n">
        <v>1</v>
      </c>
      <c r="E101" s="4" t="n">
        <v>89</v>
      </c>
      <c r="F101" s="4" t="n">
        <v>47</v>
      </c>
      <c r="G101" s="4">
        <f>E101-F101</f>
        <v/>
      </c>
      <c r="H101" s="5">
        <f>IF(E101=0,0,F101/E101)</f>
        <v/>
      </c>
    </row>
    <row r="102">
      <c r="A102" t="n">
        <v>98</v>
      </c>
      <c r="B102" t="n">
        <v>30201</v>
      </c>
      <c r="C102" t="inlineStr">
        <is>
          <t>NAIRÓBI</t>
        </is>
      </c>
      <c r="D102" s="4" t="n">
        <v>1</v>
      </c>
      <c r="E102" s="4" t="n">
        <v>112</v>
      </c>
      <c r="F102" s="4" t="n">
        <v>47</v>
      </c>
      <c r="G102" s="4">
        <f>E102-F102</f>
        <v/>
      </c>
      <c r="H102" s="5">
        <f>IF(E102=0,0,F102/E102)</f>
        <v/>
      </c>
    </row>
    <row r="103">
      <c r="A103" t="n">
        <v>99</v>
      </c>
      <c r="B103" t="n">
        <v>29254</v>
      </c>
      <c r="C103" t="inlineStr">
        <is>
          <t>ABIDJÃ</t>
        </is>
      </c>
      <c r="D103" s="4" t="n">
        <v>1</v>
      </c>
      <c r="E103" s="4" t="n">
        <v>91</v>
      </c>
      <c r="F103" s="4" t="n">
        <v>44</v>
      </c>
      <c r="G103" s="4">
        <f>E103-F103</f>
        <v/>
      </c>
      <c r="H103" s="5">
        <f>IF(E103=0,0,F103/E103)</f>
        <v/>
      </c>
    </row>
    <row r="104">
      <c r="A104" t="n">
        <v>100</v>
      </c>
      <c r="B104" t="n">
        <v>29777</v>
      </c>
      <c r="C104" t="inlineStr">
        <is>
          <t>HAVANA</t>
        </is>
      </c>
      <c r="D104" s="4" t="n">
        <v>1</v>
      </c>
      <c r="E104" s="4" t="n">
        <v>92</v>
      </c>
      <c r="F104" s="4" t="n">
        <v>40</v>
      </c>
      <c r="G104" s="4">
        <f>E104-F104</f>
        <v/>
      </c>
      <c r="H104" s="5">
        <f>IF(E104=0,0,F104/E104)</f>
        <v/>
      </c>
    </row>
    <row r="105">
      <c r="A105" t="n">
        <v>101</v>
      </c>
      <c r="B105" t="n">
        <v>39102</v>
      </c>
      <c r="C105" t="inlineStr">
        <is>
          <t>MASCATE</t>
        </is>
      </c>
      <c r="D105" s="4" t="n">
        <v>1</v>
      </c>
      <c r="E105" s="4" t="n">
        <v>97</v>
      </c>
      <c r="F105" s="4" t="n">
        <v>38</v>
      </c>
      <c r="G105" s="4">
        <f>E105-F105</f>
        <v/>
      </c>
      <c r="H105" s="5">
        <f>IF(E105=0,0,F105/E105)</f>
        <v/>
      </c>
    </row>
    <row r="106">
      <c r="A106" t="n">
        <v>102</v>
      </c>
      <c r="B106" t="n">
        <v>29297</v>
      </c>
      <c r="C106" t="inlineStr">
        <is>
          <t>ANCARA</t>
        </is>
      </c>
      <c r="D106" s="4" t="n">
        <v>1</v>
      </c>
      <c r="E106" s="4" t="n">
        <v>77</v>
      </c>
      <c r="F106" s="4" t="n">
        <v>37</v>
      </c>
      <c r="G106" s="4">
        <f>E106-F106</f>
        <v/>
      </c>
      <c r="H106" s="5">
        <f>IF(E106=0,0,F106/E106)</f>
        <v/>
      </c>
    </row>
    <row r="107">
      <c r="A107" t="n">
        <v>103</v>
      </c>
      <c r="B107" t="n">
        <v>29394</v>
      </c>
      <c r="C107" t="inlineStr">
        <is>
          <t>BISSAU</t>
        </is>
      </c>
      <c r="D107" s="4" t="n">
        <v>1</v>
      </c>
      <c r="E107" s="4" t="n">
        <v>88</v>
      </c>
      <c r="F107" s="4" t="n">
        <v>37</v>
      </c>
      <c r="G107" s="4">
        <f>E107-F107</f>
        <v/>
      </c>
      <c r="H107" s="5">
        <f>IF(E107=0,0,F107/E107)</f>
        <v/>
      </c>
    </row>
    <row r="108">
      <c r="A108" t="n">
        <v>104</v>
      </c>
      <c r="B108" t="n">
        <v>29580</v>
      </c>
      <c r="C108" t="inlineStr">
        <is>
          <t>CONCEPCIÓN</t>
        </is>
      </c>
      <c r="D108" s="4" t="n">
        <v>1</v>
      </c>
      <c r="E108" s="4" t="n">
        <v>78</v>
      </c>
      <c r="F108" s="4" t="n">
        <v>36</v>
      </c>
      <c r="G108" s="4">
        <f>E108-F108</f>
        <v/>
      </c>
      <c r="H108" s="5">
        <f>IF(E108=0,0,F108/E108)</f>
        <v/>
      </c>
    </row>
    <row r="109">
      <c r="A109" t="n">
        <v>105</v>
      </c>
      <c r="B109" t="n">
        <v>29912</v>
      </c>
      <c r="C109" t="inlineStr">
        <is>
          <t>LAGOS</t>
        </is>
      </c>
      <c r="D109" s="4" t="n">
        <v>1</v>
      </c>
      <c r="E109" s="4" t="n">
        <v>82</v>
      </c>
      <c r="F109" s="4" t="n">
        <v>33</v>
      </c>
      <c r="G109" s="4">
        <f>E109-F109</f>
        <v/>
      </c>
      <c r="H109" s="5">
        <f>IF(E109=0,0,F109/E109)</f>
        <v/>
      </c>
    </row>
    <row r="110">
      <c r="A110" t="n">
        <v>106</v>
      </c>
      <c r="B110" t="n">
        <v>29750</v>
      </c>
      <c r="C110" t="inlineStr">
        <is>
          <t>HANÓI</t>
        </is>
      </c>
      <c r="D110" s="4" t="n">
        <v>1</v>
      </c>
      <c r="E110" s="4" t="n">
        <v>82</v>
      </c>
      <c r="F110" s="4" t="n">
        <v>32</v>
      </c>
      <c r="G110" s="4">
        <f>E110-F110</f>
        <v/>
      </c>
      <c r="H110" s="5">
        <f>IF(E110=0,0,F110/E110)</f>
        <v/>
      </c>
    </row>
    <row r="111">
      <c r="A111" t="n">
        <v>107</v>
      </c>
      <c r="B111" t="n">
        <v>29300</v>
      </c>
      <c r="C111" t="inlineStr">
        <is>
          <t>ARGEL</t>
        </is>
      </c>
      <c r="D111" s="4" t="n">
        <v>1</v>
      </c>
      <c r="E111" s="4" t="n">
        <v>48</v>
      </c>
      <c r="F111" s="4" t="n">
        <v>31</v>
      </c>
      <c r="G111" s="4">
        <f>E111-F111</f>
        <v/>
      </c>
      <c r="H111" s="5">
        <f>IF(E111=0,0,F111/E111)</f>
        <v/>
      </c>
    </row>
    <row r="112">
      <c r="A112" t="n">
        <v>108</v>
      </c>
      <c r="B112" t="n">
        <v>29840</v>
      </c>
      <c r="C112" t="inlineStr">
        <is>
          <t>JACARTA</t>
        </is>
      </c>
      <c r="D112" s="4" t="n">
        <v>1</v>
      </c>
      <c r="E112" s="4" t="n">
        <v>172</v>
      </c>
      <c r="F112" s="4" t="n">
        <v>31</v>
      </c>
      <c r="G112" s="4">
        <f>E112-F112</f>
        <v/>
      </c>
      <c r="H112" s="5">
        <f>IF(E112=0,0,F112/E112)</f>
        <v/>
      </c>
    </row>
    <row r="113">
      <c r="A113" t="n">
        <v>109</v>
      </c>
      <c r="B113" t="n">
        <v>30597</v>
      </c>
      <c r="C113" t="inlineStr">
        <is>
          <t>TEERÃ</t>
        </is>
      </c>
      <c r="D113" s="4" t="n">
        <v>1</v>
      </c>
      <c r="E113" s="4" t="n">
        <v>45</v>
      </c>
      <c r="F113" s="4" t="n">
        <v>25</v>
      </c>
      <c r="G113" s="4">
        <f>E113-F113</f>
        <v/>
      </c>
      <c r="H113" s="5">
        <f>IF(E113=0,0,F113/E113)</f>
        <v/>
      </c>
    </row>
    <row r="114">
      <c r="A114" t="n">
        <v>110</v>
      </c>
      <c r="B114" t="n">
        <v>29858</v>
      </c>
      <c r="C114" t="inlineStr">
        <is>
          <t>KIEV</t>
        </is>
      </c>
      <c r="D114" s="4" t="n">
        <v>1</v>
      </c>
      <c r="E114" s="4" t="n">
        <v>65</v>
      </c>
      <c r="F114" s="4" t="n">
        <v>23</v>
      </c>
      <c r="G114" s="4">
        <f>E114-F114</f>
        <v/>
      </c>
      <c r="H114" s="5">
        <f>IF(E114=0,0,F114/E114)</f>
        <v/>
      </c>
    </row>
    <row r="115">
      <c r="A115" t="n">
        <v>111</v>
      </c>
      <c r="B115" t="n">
        <v>30430</v>
      </c>
      <c r="C115" t="inlineStr">
        <is>
          <t>RIO BRANCO</t>
        </is>
      </c>
      <c r="D115" s="4" t="n">
        <v>1</v>
      </c>
      <c r="E115" s="4" t="n">
        <v>58</v>
      </c>
      <c r="F115" s="4" t="n">
        <v>23</v>
      </c>
      <c r="G115" s="4">
        <f>E115-F115</f>
        <v/>
      </c>
      <c r="H115" s="5">
        <f>IF(E115=0,0,F115/E115)</f>
        <v/>
      </c>
    </row>
    <row r="116">
      <c r="A116" t="n">
        <v>112</v>
      </c>
      <c r="B116" t="n">
        <v>99155</v>
      </c>
      <c r="C116" t="inlineStr">
        <is>
          <t>PUERTO IGUAZÚ</t>
        </is>
      </c>
      <c r="D116" s="4" t="n">
        <v>1</v>
      </c>
      <c r="E116" s="4" t="n">
        <v>62</v>
      </c>
      <c r="F116" s="4" t="n">
        <v>22</v>
      </c>
      <c r="G116" s="4">
        <f>E116-F116</f>
        <v/>
      </c>
      <c r="H116" s="5">
        <f>IF(E116=0,0,F116/E116)</f>
        <v/>
      </c>
    </row>
    <row r="117">
      <c r="A117" t="n">
        <v>113</v>
      </c>
      <c r="B117" t="n">
        <v>30708</v>
      </c>
      <c r="C117" t="inlineStr">
        <is>
          <t>TUNIS</t>
        </is>
      </c>
      <c r="D117" s="4" t="n">
        <v>1</v>
      </c>
      <c r="E117" s="4" t="n">
        <v>47</v>
      </c>
      <c r="F117" s="4" t="n">
        <v>22</v>
      </c>
      <c r="G117" s="4">
        <f>E117-F117</f>
        <v/>
      </c>
      <c r="H117" s="5">
        <f>IF(E117=0,0,F117/E117)</f>
        <v/>
      </c>
    </row>
    <row r="118">
      <c r="A118" t="n">
        <v>114</v>
      </c>
      <c r="B118" t="n">
        <v>99430</v>
      </c>
      <c r="C118" t="inlineStr">
        <is>
          <t>KINGSTON-JAMAICA</t>
        </is>
      </c>
      <c r="D118" s="4" t="n">
        <v>1</v>
      </c>
      <c r="E118" s="4" t="n">
        <v>103</v>
      </c>
      <c r="F118" s="4" t="n">
        <v>19</v>
      </c>
      <c r="G118" s="4">
        <f>E118-F118</f>
        <v/>
      </c>
      <c r="H118" s="5">
        <f>IF(E118=0,0,F118/E118)</f>
        <v/>
      </c>
    </row>
    <row r="119">
      <c r="A119" t="n">
        <v>115</v>
      </c>
      <c r="B119" t="n">
        <v>99180</v>
      </c>
      <c r="C119" t="inlineStr">
        <is>
          <t>NASSAU</t>
        </is>
      </c>
      <c r="D119" s="4" t="n">
        <v>1</v>
      </c>
      <c r="E119" s="4" t="n">
        <v>69</v>
      </c>
      <c r="F119" s="4" t="n">
        <v>19</v>
      </c>
      <c r="G119" s="4">
        <f>E119-F119</f>
        <v/>
      </c>
      <c r="H119" s="5">
        <f>IF(E119=0,0,F119/E119)</f>
        <v/>
      </c>
    </row>
    <row r="120">
      <c r="A120" t="n">
        <v>116</v>
      </c>
      <c r="B120" t="n">
        <v>30325</v>
      </c>
      <c r="C120" t="inlineStr">
        <is>
          <t>PORT OF SPAIN</t>
        </is>
      </c>
      <c r="D120" s="4" t="n">
        <v>1</v>
      </c>
      <c r="E120" s="4" t="n">
        <v>87</v>
      </c>
      <c r="F120" s="4" t="n">
        <v>19</v>
      </c>
      <c r="G120" s="4">
        <f>E120-F120</f>
        <v/>
      </c>
      <c r="H120" s="5">
        <f>IF(E120=0,0,F120/E120)</f>
        <v/>
      </c>
    </row>
    <row r="121">
      <c r="A121" t="n">
        <v>117</v>
      </c>
      <c r="B121" t="n">
        <v>38962</v>
      </c>
      <c r="C121" t="inlineStr">
        <is>
          <t>DAR ES SALAAM</t>
        </is>
      </c>
      <c r="D121" s="4" t="n">
        <v>1</v>
      </c>
      <c r="E121" s="4" t="n">
        <v>34</v>
      </c>
      <c r="F121" s="4" t="n">
        <v>16</v>
      </c>
      <c r="G121" s="4">
        <f>E121-F121</f>
        <v/>
      </c>
      <c r="H121" s="5">
        <f>IF(E121=0,0,F121/E121)</f>
        <v/>
      </c>
    </row>
    <row r="122">
      <c r="A122" t="n">
        <v>118</v>
      </c>
      <c r="B122" t="n">
        <v>29270</v>
      </c>
      <c r="C122" t="inlineStr">
        <is>
          <t>ACCRA</t>
        </is>
      </c>
      <c r="D122" s="4" t="n">
        <v>1</v>
      </c>
      <c r="E122" s="4" t="n">
        <v>43</v>
      </c>
      <c r="F122" s="4" t="n">
        <v>13</v>
      </c>
      <c r="G122" s="4">
        <f>E122-F122</f>
        <v/>
      </c>
      <c r="H122" s="5">
        <f>IF(E122=0,0,F122/E122)</f>
        <v/>
      </c>
    </row>
    <row r="123">
      <c r="A123" t="n">
        <v>119</v>
      </c>
      <c r="B123" t="n">
        <v>29173</v>
      </c>
      <c r="C123" t="inlineStr">
        <is>
          <t>KATMANDU</t>
        </is>
      </c>
      <c r="D123" s="4" t="n">
        <v>1</v>
      </c>
      <c r="E123" s="4" t="n">
        <v>32</v>
      </c>
      <c r="F123" s="4" t="n">
        <v>13</v>
      </c>
      <c r="G123" s="4">
        <f>E123-F123</f>
        <v/>
      </c>
      <c r="H123" s="5">
        <f>IF(E123=0,0,F123/E123)</f>
        <v/>
      </c>
    </row>
    <row r="124">
      <c r="A124" t="n">
        <v>120</v>
      </c>
      <c r="B124" t="n">
        <v>30821</v>
      </c>
      <c r="C124" t="inlineStr">
        <is>
          <t>WINDHOEK</t>
        </is>
      </c>
      <c r="D124" s="4" t="n">
        <v>1</v>
      </c>
      <c r="E124" s="4" t="n">
        <v>37</v>
      </c>
      <c r="F124" s="4" t="n">
        <v>13</v>
      </c>
      <c r="G124" s="4">
        <f>E124-F124</f>
        <v/>
      </c>
      <c r="H124" s="5">
        <f>IF(E124=0,0,F124/E124)</f>
        <v/>
      </c>
    </row>
    <row r="125">
      <c r="A125" t="n">
        <v>121</v>
      </c>
      <c r="B125" t="n">
        <v>30171</v>
      </c>
      <c r="C125" t="inlineStr">
        <is>
          <t>MUMBAI</t>
        </is>
      </c>
      <c r="D125" s="4" t="n">
        <v>1</v>
      </c>
      <c r="E125" s="4" t="n">
        <v>55</v>
      </c>
      <c r="F125" s="4" t="n">
        <v>11</v>
      </c>
      <c r="G125" s="4">
        <f>E125-F125</f>
        <v/>
      </c>
      <c r="H125" s="5">
        <f>IF(E125=0,0,F125/E125)</f>
        <v/>
      </c>
    </row>
    <row r="126">
      <c r="A126" t="n">
        <v>122</v>
      </c>
      <c r="B126" t="n">
        <v>30295</v>
      </c>
      <c r="C126" t="inlineStr">
        <is>
          <t>PASO LOS LIBRES</t>
        </is>
      </c>
      <c r="D126" s="4" t="n">
        <v>1</v>
      </c>
      <c r="E126" s="4" t="n">
        <v>41</v>
      </c>
      <c r="F126" s="4" t="n">
        <v>5</v>
      </c>
      <c r="G126" s="4">
        <f>E126-F126</f>
        <v/>
      </c>
      <c r="H126" s="5">
        <f>IF(E126=0,0,F126/E126)</f>
        <v/>
      </c>
    </row>
    <row r="127">
      <c r="A127" t="n">
        <v>123</v>
      </c>
      <c r="B127" t="n">
        <v>30333</v>
      </c>
      <c r="C127" t="inlineStr">
        <is>
          <t>PORTO PRÍNCIPE</t>
        </is>
      </c>
      <c r="D127" s="4" t="n">
        <v>1</v>
      </c>
      <c r="E127" s="4" t="n">
        <v>33</v>
      </c>
      <c r="F127" s="4" t="n">
        <v>5</v>
      </c>
      <c r="G127" s="4">
        <f>E127-F127</f>
        <v/>
      </c>
      <c r="H127" s="5">
        <f>IF(E127=0,0,F127/E127)</f>
        <v/>
      </c>
    </row>
    <row r="128">
      <c r="A128" t="n">
        <v>124</v>
      </c>
      <c r="B128" t="n">
        <v>30686</v>
      </c>
      <c r="C128" t="inlineStr">
        <is>
          <t>TRÍPOLI</t>
        </is>
      </c>
      <c r="D128" s="4" t="n">
        <v>1</v>
      </c>
      <c r="E128" s="4" t="n">
        <v>30</v>
      </c>
      <c r="F128" s="4" t="n">
        <v>2</v>
      </c>
      <c r="G128" s="4">
        <f>E128-F128</f>
        <v/>
      </c>
      <c r="H128" s="5">
        <f>IF(E128=0,0,F128/E128)</f>
        <v/>
      </c>
    </row>
    <row r="129">
      <c r="A129" t="n">
        <v>125</v>
      </c>
      <c r="B129" t="n">
        <v>99198</v>
      </c>
      <c r="C129" t="inlineStr">
        <is>
          <t>ABUJA</t>
        </is>
      </c>
      <c r="D129" s="4" t="n">
        <v>1</v>
      </c>
      <c r="E129" s="4" t="n">
        <v>3</v>
      </c>
      <c r="F129" s="4" t="n">
        <v>0</v>
      </c>
      <c r="G129" s="4">
        <f>E129-F129</f>
        <v/>
      </c>
      <c r="H129" s="5">
        <f>IF(E129=0,0,F129/E129)</f>
        <v/>
      </c>
    </row>
    <row r="130">
      <c r="A130" t="n">
        <v>126</v>
      </c>
      <c r="B130" t="n">
        <v>99325</v>
      </c>
      <c r="C130" t="inlineStr">
        <is>
          <t>ADIS ABEBA</t>
        </is>
      </c>
      <c r="D130" s="4" t="n">
        <v>1</v>
      </c>
      <c r="E130" s="4" t="n">
        <v>3</v>
      </c>
      <c r="F130" s="4" t="n">
        <v>0</v>
      </c>
      <c r="G130" s="4">
        <f>E130-F130</f>
        <v/>
      </c>
      <c r="H130" s="5">
        <f>IF(E130=0,0,F130/E130)</f>
        <v/>
      </c>
    </row>
    <row r="131">
      <c r="A131" t="n">
        <v>127</v>
      </c>
      <c r="B131" t="n">
        <v>39241</v>
      </c>
      <c r="C131" t="inlineStr">
        <is>
          <t>ASTANA</t>
        </is>
      </c>
      <c r="D131" s="4" t="n">
        <v>1</v>
      </c>
      <c r="E131" s="4" t="n">
        <v>13</v>
      </c>
      <c r="F131" s="4" t="n">
        <v>0</v>
      </c>
      <c r="G131" s="4">
        <f>E131-F131</f>
        <v/>
      </c>
      <c r="H131" s="5">
        <f>IF(E131=0,0,F131/E131)</f>
        <v/>
      </c>
    </row>
    <row r="132">
      <c r="A132" t="n">
        <v>128</v>
      </c>
      <c r="B132" t="n">
        <v>99171</v>
      </c>
      <c r="C132" t="inlineStr">
        <is>
          <t>BAGDÁ</t>
        </is>
      </c>
      <c r="D132" s="4" t="n">
        <v>1</v>
      </c>
      <c r="E132" s="4" t="n">
        <v>10</v>
      </c>
      <c r="F132" s="4" t="n">
        <v>0</v>
      </c>
      <c r="G132" s="4">
        <f>E132-F132</f>
        <v/>
      </c>
      <c r="H132" s="5">
        <f>IF(E132=0,0,F132/E132)</f>
        <v/>
      </c>
    </row>
    <row r="133">
      <c r="A133" t="n">
        <v>129</v>
      </c>
      <c r="B133" t="n">
        <v>39128</v>
      </c>
      <c r="C133" t="inlineStr">
        <is>
          <t>BAKU</t>
        </is>
      </c>
      <c r="D133" s="4" t="n">
        <v>1</v>
      </c>
      <c r="E133" s="4" t="n">
        <v>5</v>
      </c>
      <c r="F133" s="4" t="n">
        <v>0</v>
      </c>
      <c r="G133" s="4">
        <f>E133-F133</f>
        <v/>
      </c>
      <c r="H133" s="5">
        <f>IF(E133=0,0,F133/E133)</f>
        <v/>
      </c>
    </row>
    <row r="134">
      <c r="A134" t="n">
        <v>130</v>
      </c>
      <c r="B134" t="n">
        <v>99350</v>
      </c>
      <c r="C134" t="inlineStr">
        <is>
          <t>BAMAKO</t>
        </is>
      </c>
      <c r="D134" s="4" t="n">
        <v>1</v>
      </c>
      <c r="E134" s="4" t="n">
        <v>5</v>
      </c>
      <c r="F134" s="4" t="n">
        <v>0</v>
      </c>
      <c r="G134" s="4">
        <f>E134-F134</f>
        <v/>
      </c>
      <c r="H134" s="5">
        <f>IF(E134=0,0,F134/E134)</f>
        <v/>
      </c>
    </row>
    <row r="135">
      <c r="A135" t="n">
        <v>131</v>
      </c>
      <c r="B135" t="n">
        <v>38881</v>
      </c>
      <c r="C135" t="inlineStr">
        <is>
          <t>BELMOPAN</t>
        </is>
      </c>
      <c r="D135" s="4" t="n">
        <v>1</v>
      </c>
      <c r="E135" s="4" t="n">
        <v>13</v>
      </c>
      <c r="F135" s="4" t="n">
        <v>0</v>
      </c>
      <c r="G135" s="4">
        <f>E135-F135</f>
        <v/>
      </c>
      <c r="H135" s="5">
        <f>IF(E135=0,0,F135/E135)</f>
        <v/>
      </c>
    </row>
    <row r="136">
      <c r="A136" t="n">
        <v>132</v>
      </c>
      <c r="B136" t="n">
        <v>39187</v>
      </c>
      <c r="C136" t="inlineStr">
        <is>
          <t>BRAZZAVILLE</t>
        </is>
      </c>
      <c r="D136" s="4" t="n">
        <v>1</v>
      </c>
      <c r="E136" s="4" t="n">
        <v>2</v>
      </c>
      <c r="F136" s="4" t="n">
        <v>0</v>
      </c>
      <c r="G136" s="4">
        <f>E136-F136</f>
        <v/>
      </c>
      <c r="H136" s="5">
        <f>IF(E136=0,0,F136/E136)</f>
        <v/>
      </c>
    </row>
    <row r="137">
      <c r="A137" t="n">
        <v>133</v>
      </c>
      <c r="B137" t="n">
        <v>29424</v>
      </c>
      <c r="C137" t="inlineStr">
        <is>
          <t>BRIDGETOWN</t>
        </is>
      </c>
      <c r="D137" s="4" t="n">
        <v>1</v>
      </c>
      <c r="E137" s="4" t="n">
        <v>22</v>
      </c>
      <c r="F137" s="4" t="n">
        <v>0</v>
      </c>
      <c r="G137" s="4">
        <f>E137-F137</f>
        <v/>
      </c>
      <c r="H137" s="5">
        <f>IF(E137=0,0,F137/E137)</f>
        <v/>
      </c>
    </row>
    <row r="138">
      <c r="A138" t="n">
        <v>134</v>
      </c>
      <c r="B138" t="n">
        <v>99384</v>
      </c>
      <c r="C138" t="inlineStr">
        <is>
          <t>CASTRIES</t>
        </is>
      </c>
      <c r="D138" s="4" t="n">
        <v>1</v>
      </c>
      <c r="E138" s="4" t="n">
        <v>7</v>
      </c>
      <c r="F138" s="4" t="n">
        <v>0</v>
      </c>
      <c r="G138" s="4">
        <f>E138-F138</f>
        <v/>
      </c>
      <c r="H138" s="5">
        <f>IF(E138=0,0,F138/E138)</f>
        <v/>
      </c>
    </row>
    <row r="139">
      <c r="A139" t="n">
        <v>135</v>
      </c>
      <c r="B139" t="n">
        <v>29521</v>
      </c>
      <c r="C139" t="inlineStr">
        <is>
          <t>CHUY</t>
        </is>
      </c>
      <c r="D139" s="4" t="n">
        <v>1</v>
      </c>
      <c r="E139" s="4" t="n">
        <v>27</v>
      </c>
      <c r="F139" s="4" t="n">
        <v>0</v>
      </c>
      <c r="G139" s="4">
        <f>E139-F139</f>
        <v/>
      </c>
      <c r="H139" s="5">
        <f>IF(E139=0,0,F139/E139)</f>
        <v/>
      </c>
    </row>
    <row r="140">
      <c r="A140" t="n">
        <v>136</v>
      </c>
      <c r="B140" t="n">
        <v>29564</v>
      </c>
      <c r="C140" t="inlineStr">
        <is>
          <t>CIUDAD GUAYANA</t>
        </is>
      </c>
      <c r="D140" s="4" t="n">
        <v>1</v>
      </c>
      <c r="E140" s="4" t="n">
        <v>72</v>
      </c>
      <c r="F140" s="4" t="n">
        <v>0</v>
      </c>
      <c r="G140" s="4">
        <f>E140-F140</f>
        <v/>
      </c>
      <c r="H140" s="5">
        <f>IF(E140=0,0,F140/E140)</f>
        <v/>
      </c>
    </row>
    <row r="141">
      <c r="A141" t="n">
        <v>137</v>
      </c>
      <c r="B141" t="n">
        <v>99210</v>
      </c>
      <c r="C141" t="inlineStr">
        <is>
          <t>COBIJA</t>
        </is>
      </c>
      <c r="D141" s="4" t="n">
        <v>1</v>
      </c>
      <c r="E141" s="4" t="n">
        <v>1</v>
      </c>
      <c r="F141" s="4" t="n">
        <v>0</v>
      </c>
      <c r="G141" s="4">
        <f>E141-F141</f>
        <v/>
      </c>
      <c r="H141" s="5">
        <f>IF(E141=0,0,F141/E141)</f>
        <v/>
      </c>
    </row>
    <row r="142">
      <c r="A142" t="n">
        <v>138</v>
      </c>
      <c r="B142" t="n">
        <v>30929</v>
      </c>
      <c r="C142" t="inlineStr">
        <is>
          <t>COLOMBO</t>
        </is>
      </c>
      <c r="D142" s="4" t="n">
        <v>1</v>
      </c>
      <c r="E142" s="4" t="n">
        <v>12</v>
      </c>
      <c r="F142" s="4" t="n">
        <v>0</v>
      </c>
      <c r="G142" s="4">
        <f>E142-F142</f>
        <v/>
      </c>
      <c r="H142" s="5">
        <f>IF(E142=0,0,F142/E142)</f>
        <v/>
      </c>
    </row>
    <row r="143">
      <c r="A143" t="n">
        <v>139</v>
      </c>
      <c r="B143" t="n">
        <v>38903</v>
      </c>
      <c r="C143" t="inlineStr">
        <is>
          <t>CONACRI</t>
        </is>
      </c>
      <c r="D143" s="4" t="n">
        <v>1</v>
      </c>
      <c r="E143" s="4" t="n">
        <v>5</v>
      </c>
      <c r="F143" s="4" t="n">
        <v>0</v>
      </c>
      <c r="G143" s="4">
        <f>E143-F143</f>
        <v/>
      </c>
      <c r="H143" s="5">
        <f>IF(E143=0,0,F143/E143)</f>
        <v/>
      </c>
    </row>
    <row r="144">
      <c r="A144" t="n">
        <v>140</v>
      </c>
      <c r="B144" t="n">
        <v>38920</v>
      </c>
      <c r="C144" t="inlineStr">
        <is>
          <t>COTONOU</t>
        </is>
      </c>
      <c r="D144" s="4" t="n">
        <v>1</v>
      </c>
      <c r="E144" s="4" t="n">
        <v>8</v>
      </c>
      <c r="F144" s="4" t="n">
        <v>0</v>
      </c>
      <c r="G144" s="4">
        <f>E144-F144</f>
        <v/>
      </c>
      <c r="H144" s="5">
        <f>IF(E144=0,0,F144/E144)</f>
        <v/>
      </c>
    </row>
    <row r="145">
      <c r="A145" t="n">
        <v>141</v>
      </c>
      <c r="B145" t="n">
        <v>29629</v>
      </c>
      <c r="C145" t="inlineStr">
        <is>
          <t>DACCA</t>
        </is>
      </c>
      <c r="D145" s="4" t="n">
        <v>1</v>
      </c>
      <c r="E145" s="4" t="n">
        <v>1</v>
      </c>
      <c r="F145" s="4" t="n">
        <v>0</v>
      </c>
      <c r="G145" s="4">
        <f>E145-F145</f>
        <v/>
      </c>
      <c r="H145" s="5">
        <f>IF(E145=0,0,F145/E145)</f>
        <v/>
      </c>
    </row>
    <row r="146">
      <c r="A146" t="n">
        <v>142</v>
      </c>
      <c r="B146" t="n">
        <v>30669</v>
      </c>
      <c r="C146" t="inlineStr">
        <is>
          <t>GABORONE</t>
        </is>
      </c>
      <c r="D146" s="4" t="n">
        <v>1</v>
      </c>
      <c r="E146" s="4" t="n">
        <v>10</v>
      </c>
      <c r="F146" s="4" t="n">
        <v>0</v>
      </c>
      <c r="G146" s="4">
        <f>E146-F146</f>
        <v/>
      </c>
      <c r="H146" s="5">
        <f>IF(E146=0,0,F146/E146)</f>
        <v/>
      </c>
    </row>
    <row r="147">
      <c r="A147" t="n">
        <v>143</v>
      </c>
      <c r="B147" t="n">
        <v>29769</v>
      </c>
      <c r="C147" t="inlineStr">
        <is>
          <t>HARARE</t>
        </is>
      </c>
      <c r="D147" s="4" t="n">
        <v>1</v>
      </c>
      <c r="E147" s="4" t="n">
        <v>7</v>
      </c>
      <c r="F147" s="4" t="n">
        <v>0</v>
      </c>
      <c r="G147" s="4">
        <f>E147-F147</f>
        <v/>
      </c>
      <c r="H147" s="5">
        <f>IF(E147=0,0,F147/E147)</f>
        <v/>
      </c>
    </row>
    <row r="148">
      <c r="A148" t="n">
        <v>144</v>
      </c>
      <c r="B148" t="n">
        <v>29815</v>
      </c>
      <c r="C148" t="inlineStr">
        <is>
          <t>IAUNDÊ</t>
        </is>
      </c>
      <c r="D148" s="4" t="n">
        <v>1</v>
      </c>
      <c r="E148" s="4" t="n">
        <v>14</v>
      </c>
      <c r="F148" s="4" t="n">
        <v>0</v>
      </c>
      <c r="G148" s="4">
        <f>E148-F148</f>
        <v/>
      </c>
      <c r="H148" s="5">
        <f>IF(E148=0,0,F148/E148)</f>
        <v/>
      </c>
    </row>
    <row r="149">
      <c r="A149" t="n">
        <v>145</v>
      </c>
      <c r="B149" t="n">
        <v>38989</v>
      </c>
      <c r="C149" t="inlineStr">
        <is>
          <t>IEREVAN</t>
        </is>
      </c>
      <c r="D149" s="4" t="n">
        <v>1</v>
      </c>
      <c r="E149" s="4" t="n">
        <v>13</v>
      </c>
      <c r="F149" s="4" t="n">
        <v>0</v>
      </c>
      <c r="G149" s="4">
        <f>E149-F149</f>
        <v/>
      </c>
      <c r="H149" s="5">
        <f>IF(E149=0,0,F149/E149)</f>
        <v/>
      </c>
    </row>
    <row r="150">
      <c r="A150" t="n">
        <v>146</v>
      </c>
      <c r="B150" t="n">
        <v>29823</v>
      </c>
      <c r="C150" t="inlineStr">
        <is>
          <t>IQUITOS</t>
        </is>
      </c>
      <c r="D150" s="4" t="n">
        <v>1</v>
      </c>
      <c r="E150" s="4" t="n">
        <v>17</v>
      </c>
      <c r="F150" s="4" t="n">
        <v>0</v>
      </c>
      <c r="G150" s="4">
        <f>E150-F150</f>
        <v/>
      </c>
      <c r="H150" s="5">
        <f>IF(E150=0,0,F150/E150)</f>
        <v/>
      </c>
    </row>
    <row r="151">
      <c r="A151" t="n">
        <v>147</v>
      </c>
      <c r="B151" t="n">
        <v>29831</v>
      </c>
      <c r="C151" t="inlineStr">
        <is>
          <t>ISLAMABADE</t>
        </is>
      </c>
      <c r="D151" s="4" t="n">
        <v>1</v>
      </c>
      <c r="E151" s="4" t="n">
        <v>18</v>
      </c>
      <c r="F151" s="4" t="n">
        <v>0</v>
      </c>
      <c r="G151" s="4">
        <f>E151-F151</f>
        <v/>
      </c>
      <c r="H151" s="5">
        <f>IF(E151=0,0,F151/E151)</f>
        <v/>
      </c>
    </row>
    <row r="152">
      <c r="A152" t="n">
        <v>148</v>
      </c>
      <c r="B152" t="n">
        <v>29874</v>
      </c>
      <c r="C152" t="inlineStr">
        <is>
          <t>KINSHASA</t>
        </is>
      </c>
      <c r="D152" s="4" t="n">
        <v>1</v>
      </c>
      <c r="E152" s="4" t="n">
        <v>27</v>
      </c>
      <c r="F152" s="4" t="n">
        <v>0</v>
      </c>
      <c r="G152" s="4">
        <f>E152-F152</f>
        <v/>
      </c>
      <c r="H152" s="5">
        <f>IF(E152=0,0,F152/E152)</f>
        <v/>
      </c>
    </row>
    <row r="153">
      <c r="A153" t="n">
        <v>149</v>
      </c>
      <c r="B153" t="n">
        <v>29939</v>
      </c>
      <c r="C153" t="inlineStr">
        <is>
          <t>LIBREVILLE</t>
        </is>
      </c>
      <c r="D153" s="4" t="n">
        <v>1</v>
      </c>
      <c r="E153" s="4" t="n">
        <v>18</v>
      </c>
      <c r="F153" s="4" t="n">
        <v>0</v>
      </c>
      <c r="G153" s="4">
        <f>E153-F153</f>
        <v/>
      </c>
      <c r="H153" s="5">
        <f>IF(E153=0,0,F153/E153)</f>
        <v/>
      </c>
    </row>
    <row r="154">
      <c r="A154" t="n">
        <v>150</v>
      </c>
      <c r="B154" t="n">
        <v>99341</v>
      </c>
      <c r="C154" t="inlineStr">
        <is>
          <t>LILONGUE</t>
        </is>
      </c>
      <c r="D154" s="4" t="n">
        <v>1</v>
      </c>
      <c r="E154" s="4" t="n">
        <v>6</v>
      </c>
      <c r="F154" s="4" t="n">
        <v>0</v>
      </c>
      <c r="G154" s="4">
        <f>E154-F154</f>
        <v/>
      </c>
      <c r="H154" s="5">
        <f>IF(E154=0,0,F154/E154)</f>
        <v/>
      </c>
    </row>
    <row r="155">
      <c r="A155" t="n">
        <v>151</v>
      </c>
      <c r="B155" t="n">
        <v>29963</v>
      </c>
      <c r="C155" t="inlineStr">
        <is>
          <t>LOMÉ</t>
        </is>
      </c>
      <c r="D155" s="4" t="n">
        <v>1</v>
      </c>
      <c r="E155" s="4" t="n">
        <v>7</v>
      </c>
      <c r="F155" s="4" t="n">
        <v>0</v>
      </c>
      <c r="G155" s="4">
        <f>E155-F155</f>
        <v/>
      </c>
      <c r="H155" s="5">
        <f>IF(E155=0,0,F155/E155)</f>
        <v/>
      </c>
    </row>
    <row r="156">
      <c r="A156" t="n">
        <v>152</v>
      </c>
      <c r="B156" t="n">
        <v>99287</v>
      </c>
      <c r="C156" t="inlineStr">
        <is>
          <t>LUSACA</t>
        </is>
      </c>
      <c r="D156" s="4" t="n">
        <v>1</v>
      </c>
      <c r="E156" s="4" t="n">
        <v>25</v>
      </c>
      <c r="F156" s="4" t="n">
        <v>0</v>
      </c>
      <c r="G156" s="4">
        <f>E156-F156</f>
        <v/>
      </c>
      <c r="H156" s="5">
        <f>IF(E156=0,0,F156/E156)</f>
        <v/>
      </c>
    </row>
    <row r="157">
      <c r="A157" t="n">
        <v>153</v>
      </c>
      <c r="B157" t="n">
        <v>39263</v>
      </c>
      <c r="C157" t="inlineStr">
        <is>
          <t>MALABO</t>
        </is>
      </c>
      <c r="D157" s="4" t="n">
        <v>1</v>
      </c>
      <c r="E157" s="4" t="n">
        <v>5</v>
      </c>
      <c r="F157" s="4" t="n">
        <v>0</v>
      </c>
      <c r="G157" s="4">
        <f>E157-F157</f>
        <v/>
      </c>
      <c r="H157" s="5">
        <f>IF(E157=0,0,F157/E157)</f>
        <v/>
      </c>
    </row>
    <row r="158">
      <c r="A158" t="n">
        <v>154</v>
      </c>
      <c r="B158" t="n">
        <v>99236</v>
      </c>
      <c r="C158" t="inlineStr">
        <is>
          <t>PUERTO QUIJARRO</t>
        </is>
      </c>
      <c r="D158" s="4" t="n">
        <v>1</v>
      </c>
      <c r="E158" s="4" t="n">
        <v>8</v>
      </c>
      <c r="F158" s="4" t="n">
        <v>0</v>
      </c>
      <c r="G158" s="4">
        <f>E158-F158</f>
        <v/>
      </c>
      <c r="H158" s="5">
        <f>IF(E158=0,0,F158/E158)</f>
        <v/>
      </c>
    </row>
    <row r="159">
      <c r="A159" t="n">
        <v>155</v>
      </c>
      <c r="B159" t="n">
        <v>99295</v>
      </c>
      <c r="C159" t="inlineStr">
        <is>
          <t>PYONGYANG</t>
        </is>
      </c>
      <c r="D159" s="4" t="n">
        <v>1</v>
      </c>
      <c r="E159" s="4" t="n">
        <v>1</v>
      </c>
      <c r="F159" s="4" t="n">
        <v>0</v>
      </c>
      <c r="G159" s="4">
        <f>E159-F159</f>
        <v/>
      </c>
      <c r="H159" s="5">
        <f>IF(E159=0,0,F159/E159)</f>
        <v/>
      </c>
    </row>
    <row r="160">
      <c r="A160" t="n">
        <v>156</v>
      </c>
      <c r="B160" t="n">
        <v>99244</v>
      </c>
      <c r="C160" t="inlineStr">
        <is>
          <t>RIVERA</t>
        </is>
      </c>
      <c r="D160" s="4" t="n">
        <v>1</v>
      </c>
      <c r="E160" s="4" t="n">
        <v>19</v>
      </c>
      <c r="F160" s="4" t="n">
        <v>0</v>
      </c>
      <c r="G160" s="4">
        <f>E160-F160</f>
        <v/>
      </c>
      <c r="H160" s="5">
        <f>IF(E160=0,0,F160/E160)</f>
        <v/>
      </c>
    </row>
    <row r="161">
      <c r="A161" t="n">
        <v>157</v>
      </c>
      <c r="B161" t="n">
        <v>99147</v>
      </c>
      <c r="C161" t="inlineStr">
        <is>
          <t>SAINT JOHNS</t>
        </is>
      </c>
      <c r="D161" s="4" t="n">
        <v>1</v>
      </c>
      <c r="E161" s="4" t="n">
        <v>1</v>
      </c>
      <c r="F161" s="4" t="n">
        <v>0</v>
      </c>
      <c r="G161" s="4">
        <f>E161-F161</f>
        <v/>
      </c>
      <c r="H161" s="5">
        <f>IF(E161=0,0,F161/E161)</f>
        <v/>
      </c>
    </row>
    <row r="162">
      <c r="A162" t="n">
        <v>158</v>
      </c>
      <c r="B162" t="n">
        <v>99279</v>
      </c>
      <c r="C162" t="inlineStr">
        <is>
          <t>SANTA ELENA DE UAIRÉN</t>
        </is>
      </c>
      <c r="D162" s="4" t="n">
        <v>1</v>
      </c>
      <c r="E162" s="4" t="n">
        <v>1</v>
      </c>
      <c r="F162" s="4" t="n">
        <v>0</v>
      </c>
      <c r="G162" s="4">
        <f>E162-F162</f>
        <v/>
      </c>
      <c r="H162" s="5">
        <f>IF(E162=0,0,F162/E162)</f>
        <v/>
      </c>
    </row>
    <row r="163">
      <c r="A163" t="n">
        <v>159</v>
      </c>
      <c r="B163" t="n">
        <v>30988</v>
      </c>
      <c r="C163" t="inlineStr">
        <is>
          <t>SARAJEVO</t>
        </is>
      </c>
      <c r="D163" s="4" t="n">
        <v>2</v>
      </c>
      <c r="E163" s="4" t="n">
        <v>11</v>
      </c>
      <c r="F163" s="4" t="n">
        <v>0</v>
      </c>
      <c r="G163" s="4">
        <f>E163-F163</f>
        <v/>
      </c>
      <c r="H163" s="5">
        <f>IF(E163=0,0,F163/E163)</f>
        <v/>
      </c>
    </row>
    <row r="164">
      <c r="A164" t="n">
        <v>160</v>
      </c>
      <c r="B164" t="n">
        <v>99333</v>
      </c>
      <c r="C164" t="inlineStr">
        <is>
          <t>ST GEORGES DE LOYAPOCK</t>
        </is>
      </c>
      <c r="D164" s="4" t="n">
        <v>1</v>
      </c>
      <c r="E164" s="4" t="n">
        <v>10</v>
      </c>
      <c r="F164" s="4" t="n">
        <v>0</v>
      </c>
      <c r="G164" s="4">
        <f>E164-F164</f>
        <v/>
      </c>
      <c r="H164" s="5">
        <f>IF(E164=0,0,F164/E164)</f>
        <v/>
      </c>
    </row>
    <row r="165">
      <c r="A165" t="n">
        <v>161</v>
      </c>
      <c r="B165" t="n">
        <v>39225</v>
      </c>
      <c r="C165" t="inlineStr">
        <is>
          <t>SÃO TOMÉ</t>
        </is>
      </c>
      <c r="D165" s="4" t="n">
        <v>1</v>
      </c>
      <c r="E165" s="4" t="n">
        <v>18</v>
      </c>
      <c r="F165" s="4" t="n">
        <v>0</v>
      </c>
      <c r="G165" s="4">
        <f>E165-F165</f>
        <v/>
      </c>
      <c r="H165" s="5">
        <f>IF(E165=0,0,F165/E165)</f>
        <v/>
      </c>
    </row>
    <row r="166">
      <c r="A166" t="n">
        <v>162</v>
      </c>
      <c r="B166" t="n">
        <v>99104</v>
      </c>
      <c r="C166" t="inlineStr">
        <is>
          <t>TBILISI</t>
        </is>
      </c>
      <c r="D166" s="4" t="n">
        <v>1</v>
      </c>
      <c r="E166" s="4" t="n">
        <v>29</v>
      </c>
      <c r="F166" s="4" t="n">
        <v>0</v>
      </c>
      <c r="G166" s="4">
        <f>E166-F166</f>
        <v/>
      </c>
      <c r="H166" s="5">
        <f>IF(E166=0,0,F166/E166)</f>
        <v/>
      </c>
    </row>
    <row r="167">
      <c r="A167" t="n">
        <v>163</v>
      </c>
      <c r="B167" t="n">
        <v>99139</v>
      </c>
      <c r="C167" t="inlineStr">
        <is>
          <t>TIRANA</t>
        </is>
      </c>
      <c r="D167" s="4" t="n">
        <v>1</v>
      </c>
      <c r="E167" s="4" t="n">
        <v>9</v>
      </c>
      <c r="F167" s="4" t="n">
        <v>0</v>
      </c>
      <c r="G167" s="4">
        <f>E167-F167</f>
        <v/>
      </c>
      <c r="H167" s="5">
        <f>IF(E167=0,0,F167/E167)</f>
        <v/>
      </c>
    </row>
    <row r="168">
      <c r="A168" t="n">
        <v>164</v>
      </c>
      <c r="B168" t="n">
        <v>39284</v>
      </c>
      <c r="C168" t="inlineStr">
        <is>
          <t>UAGADUGU</t>
        </is>
      </c>
      <c r="D168" s="4" t="n">
        <v>1</v>
      </c>
      <c r="E168" s="4" t="n">
        <v>6</v>
      </c>
      <c r="F168" s="4" t="n">
        <v>0</v>
      </c>
      <c r="G168" s="4">
        <f>E168-F168</f>
        <v/>
      </c>
      <c r="H168" s="5">
        <f>IF(E168=0,0,F168/E168)</f>
        <v/>
      </c>
    </row>
    <row r="169">
      <c r="A169" t="n">
        <v>165</v>
      </c>
      <c r="B169" t="n">
        <v>99376</v>
      </c>
      <c r="C169" t="inlineStr">
        <is>
          <t>YANGON</t>
        </is>
      </c>
      <c r="D169" s="4" t="n">
        <v>1</v>
      </c>
      <c r="E169" s="4" t="n">
        <v>6</v>
      </c>
      <c r="F169" s="4" t="n">
        <v>0</v>
      </c>
      <c r="G169" s="4">
        <f>E169-F169</f>
        <v/>
      </c>
      <c r="H169" s="5">
        <f>IF(E169=0,0,F169/E169)</f>
        <v/>
      </c>
    </row>
    <row r="170">
      <c r="A170" s="9" t="n"/>
      <c r="B170" s="9" t="n"/>
      <c r="C170" s="9" t="inlineStr">
        <is>
          <t>Soma dos municípios (Anexo I)</t>
        </is>
      </c>
      <c r="D170" s="10">
        <f>SUM(D5:D169)</f>
        <v/>
      </c>
      <c r="E170" s="10">
        <f>SUM(E5:E169)</f>
        <v/>
      </c>
      <c r="F170" s="10">
        <f>SUM(F5:F169)</f>
        <v/>
      </c>
      <c r="G170" s="10">
        <f>SUM(G5:G169)</f>
        <v/>
      </c>
      <c r="H170" s="11">
        <f>F170/E170</f>
        <v/>
      </c>
    </row>
  </sheetData>
  <autoFilter ref="A4:H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Dublin — resultado oficial (PDF TSE) x planejamento (saidas/dados.json), por urna</t>
        </is>
      </c>
    </row>
    <row r="2">
      <c r="A2" s="2" t="inlineStr">
        <is>
          <t>Cada urna = 1 seção principal + suas agregadas, contada uma vez. Linhas em vermelho: urna ausente do Anexo I do PDF (comparecimento desconhecido).</t>
        </is>
      </c>
    </row>
    <row r="4" ht="34" customHeight="1">
      <c r="A4" s="3" t="inlineStr">
        <is>
          <t>Urna (seção principal)</t>
        </is>
      </c>
      <c r="B4" s="3" t="inlineStr">
        <is>
          <t>Aptos — planejamento (CSV)</t>
        </is>
      </c>
      <c r="C4" s="3" t="inlineStr">
        <is>
          <t>Aptos — PDF</t>
        </is>
      </c>
      <c r="D4" s="3" t="inlineStr">
        <is>
          <t>Diferença de aptos</t>
        </is>
      </c>
      <c r="E4" s="3" t="inlineStr">
        <is>
          <t>Comparecimento — PDF</t>
        </is>
      </c>
      <c r="F4" s="3" t="inlineStr">
        <is>
          <t>% comparecimento</t>
        </is>
      </c>
      <c r="G4" s="3" t="inlineStr">
        <is>
          <t>Situação</t>
        </is>
      </c>
    </row>
    <row r="5">
      <c r="A5" t="n">
        <v>3315</v>
      </c>
      <c r="B5" s="4" t="n">
        <v>792</v>
      </c>
      <c r="C5" s="4" t="n">
        <v>790</v>
      </c>
      <c r="D5" s="4">
        <f>C5-B5</f>
        <v/>
      </c>
      <c r="E5" s="4" t="n">
        <v>536</v>
      </c>
      <c r="F5" s="5">
        <f>E5/C5</f>
        <v/>
      </c>
      <c r="G5" t="inlineStr">
        <is>
          <t>no PDF</t>
        </is>
      </c>
    </row>
    <row r="6">
      <c r="A6" t="n">
        <v>3322</v>
      </c>
      <c r="B6" s="4" t="n">
        <v>794</v>
      </c>
      <c r="C6" s="4" t="n">
        <v>792</v>
      </c>
      <c r="D6" s="4">
        <f>C6-B6</f>
        <v/>
      </c>
      <c r="E6" s="4" t="n">
        <v>503</v>
      </c>
      <c r="F6" s="5">
        <f>E6/C6</f>
        <v/>
      </c>
      <c r="G6" t="inlineStr">
        <is>
          <t>no PDF</t>
        </is>
      </c>
    </row>
    <row r="7">
      <c r="A7" t="n">
        <v>3313</v>
      </c>
      <c r="B7" s="4" t="n">
        <v>797</v>
      </c>
      <c r="C7" s="4" t="n">
        <v>792</v>
      </c>
      <c r="D7" s="4">
        <f>C7-B7</f>
        <v/>
      </c>
      <c r="E7" s="4" t="n">
        <v>492</v>
      </c>
      <c r="F7" s="5">
        <f>E7/C7</f>
        <v/>
      </c>
      <c r="G7" t="inlineStr">
        <is>
          <t>no PDF</t>
        </is>
      </c>
    </row>
    <row r="8">
      <c r="A8" t="n">
        <v>3311</v>
      </c>
      <c r="B8" s="4" t="n">
        <v>630</v>
      </c>
      <c r="C8" s="4" t="n">
        <v>626</v>
      </c>
      <c r="D8" s="4">
        <f>C8-B8</f>
        <v/>
      </c>
      <c r="E8" s="4" t="n">
        <v>384</v>
      </c>
      <c r="F8" s="5">
        <f>E8/C8</f>
        <v/>
      </c>
      <c r="G8" t="inlineStr">
        <is>
          <t>no PDF</t>
        </is>
      </c>
    </row>
    <row r="9">
      <c r="A9" t="n">
        <v>3302</v>
      </c>
      <c r="B9" s="4" t="n">
        <v>771</v>
      </c>
      <c r="C9" s="4" t="n">
        <v>763</v>
      </c>
      <c r="D9" s="4">
        <f>C9-B9</f>
        <v/>
      </c>
      <c r="E9" s="4" t="n">
        <v>373</v>
      </c>
      <c r="F9" s="5">
        <f>E9/C9</f>
        <v/>
      </c>
      <c r="G9" t="inlineStr">
        <is>
          <t>no PDF</t>
        </is>
      </c>
    </row>
    <row r="10">
      <c r="A10" t="n">
        <v>3179</v>
      </c>
      <c r="B10" s="4" t="n">
        <v>676</v>
      </c>
      <c r="C10" s="4" t="n">
        <v>670</v>
      </c>
      <c r="D10" s="4">
        <f>C10-B10</f>
        <v/>
      </c>
      <c r="E10" s="4" t="n">
        <v>349</v>
      </c>
      <c r="F10" s="5">
        <f>E10/C10</f>
        <v/>
      </c>
      <c r="G10" t="inlineStr">
        <is>
          <t>no PDF</t>
        </is>
      </c>
    </row>
    <row r="11">
      <c r="A11" t="n">
        <v>3306</v>
      </c>
      <c r="B11" s="4" t="n">
        <v>766</v>
      </c>
      <c r="C11" s="4" t="n">
        <v>761</v>
      </c>
      <c r="D11" s="4">
        <f>C11-B11</f>
        <v/>
      </c>
      <c r="E11" s="4" t="n">
        <v>345</v>
      </c>
      <c r="F11" s="5">
        <f>E11/C11</f>
        <v/>
      </c>
      <c r="G11" t="inlineStr">
        <is>
          <t>no PDF</t>
        </is>
      </c>
    </row>
    <row r="12">
      <c r="A12" t="n">
        <v>3161</v>
      </c>
      <c r="B12" s="4" t="n">
        <v>791</v>
      </c>
      <c r="C12" s="4" t="n">
        <v>787</v>
      </c>
      <c r="D12" s="4">
        <f>C12-B12</f>
        <v/>
      </c>
      <c r="E12" s="4" t="n">
        <v>328</v>
      </c>
      <c r="F12" s="5">
        <f>E12/C12</f>
        <v/>
      </c>
      <c r="G12" t="inlineStr">
        <is>
          <t>no PDF</t>
        </is>
      </c>
    </row>
    <row r="13">
      <c r="A13" t="n">
        <v>3245</v>
      </c>
      <c r="B13" s="4" t="n">
        <v>781</v>
      </c>
      <c r="C13" s="4" t="n">
        <v>778</v>
      </c>
      <c r="D13" s="4">
        <f>C13-B13</f>
        <v/>
      </c>
      <c r="E13" s="4" t="n">
        <v>322</v>
      </c>
      <c r="F13" s="5">
        <f>E13/C13</f>
        <v/>
      </c>
      <c r="G13" t="inlineStr">
        <is>
          <t>no PDF</t>
        </is>
      </c>
    </row>
    <row r="14">
      <c r="A14" t="n">
        <v>3108</v>
      </c>
      <c r="B14" s="4" t="n">
        <v>756</v>
      </c>
      <c r="C14" s="4" t="n">
        <v>752</v>
      </c>
      <c r="D14" s="4">
        <f>C14-B14</f>
        <v/>
      </c>
      <c r="E14" s="4" t="n">
        <v>320</v>
      </c>
      <c r="F14" s="5">
        <f>E14/C14</f>
        <v/>
      </c>
      <c r="G14" t="inlineStr">
        <is>
          <t>no PDF</t>
        </is>
      </c>
    </row>
    <row r="15">
      <c r="A15" t="n">
        <v>3142</v>
      </c>
      <c r="B15" s="4" t="n">
        <v>793</v>
      </c>
      <c r="C15" s="4" t="n">
        <v>787</v>
      </c>
      <c r="D15" s="4">
        <f>C15-B15</f>
        <v/>
      </c>
      <c r="E15" s="4" t="n">
        <v>318</v>
      </c>
      <c r="F15" s="5">
        <f>E15/C15</f>
        <v/>
      </c>
      <c r="G15" t="inlineStr">
        <is>
          <t>no PDF</t>
        </is>
      </c>
    </row>
    <row r="16">
      <c r="A16" t="n">
        <v>3229</v>
      </c>
      <c r="B16" s="4" t="n">
        <v>606</v>
      </c>
      <c r="C16" s="4" t="n">
        <v>601</v>
      </c>
      <c r="D16" s="4">
        <f>C16-B16</f>
        <v/>
      </c>
      <c r="E16" s="4" t="n">
        <v>318</v>
      </c>
      <c r="F16" s="5">
        <f>E16/C16</f>
        <v/>
      </c>
      <c r="G16" t="inlineStr">
        <is>
          <t>no PDF</t>
        </is>
      </c>
    </row>
    <row r="17">
      <c r="A17" t="n">
        <v>3309</v>
      </c>
      <c r="B17" s="4" t="n">
        <v>615</v>
      </c>
      <c r="C17" s="4" t="n">
        <v>614</v>
      </c>
      <c r="D17" s="4">
        <f>C17-B17</f>
        <v/>
      </c>
      <c r="E17" s="4" t="n">
        <v>278</v>
      </c>
      <c r="F17" s="5">
        <f>E17/C17</f>
        <v/>
      </c>
      <c r="G17" t="inlineStr">
        <is>
          <t>no PDF</t>
        </is>
      </c>
    </row>
    <row r="18">
      <c r="A18" t="n">
        <v>3216</v>
      </c>
      <c r="B18" s="4" t="n">
        <v>571</v>
      </c>
      <c r="C18" s="4" t="n">
        <v>568</v>
      </c>
      <c r="D18" s="4">
        <f>C18-B18</f>
        <v/>
      </c>
      <c r="E18" s="4" t="n">
        <v>278</v>
      </c>
      <c r="F18" s="5">
        <f>E18/C18</f>
        <v/>
      </c>
      <c r="G18" t="inlineStr">
        <is>
          <t>no PDF</t>
        </is>
      </c>
    </row>
    <row r="19">
      <c r="A19" t="n">
        <v>3305</v>
      </c>
      <c r="B19" s="4" t="n">
        <v>767</v>
      </c>
      <c r="C19" s="4" t="n">
        <v>764</v>
      </c>
      <c r="D19" s="4">
        <f>C19-B19</f>
        <v/>
      </c>
      <c r="E19" s="4" t="n">
        <v>265</v>
      </c>
      <c r="F19" s="5">
        <f>E19/C19</f>
        <v/>
      </c>
      <c r="G19" t="inlineStr">
        <is>
          <t>no PDF</t>
        </is>
      </c>
    </row>
    <row r="20">
      <c r="A20" t="n">
        <v>3078</v>
      </c>
      <c r="B20" s="4" t="n">
        <v>429</v>
      </c>
      <c r="C20" s="4" t="n">
        <v>427</v>
      </c>
      <c r="D20" s="4">
        <f>C20-B20</f>
        <v/>
      </c>
      <c r="E20" s="4" t="n">
        <v>259</v>
      </c>
      <c r="F20" s="5">
        <f>E20/C20</f>
        <v/>
      </c>
      <c r="G20" t="inlineStr">
        <is>
          <t>no PDF</t>
        </is>
      </c>
    </row>
    <row r="21">
      <c r="A21" t="n">
        <v>3054</v>
      </c>
      <c r="B21" s="4" t="n">
        <v>454</v>
      </c>
      <c r="C21" s="4" t="n">
        <v>452</v>
      </c>
      <c r="D21" s="4">
        <f>C21-B21</f>
        <v/>
      </c>
      <c r="E21" s="4" t="n">
        <v>256</v>
      </c>
      <c r="F21" s="5">
        <f>E21/C21</f>
        <v/>
      </c>
      <c r="G21" t="inlineStr">
        <is>
          <t>no PDF</t>
        </is>
      </c>
    </row>
    <row r="22">
      <c r="A22" t="n">
        <v>1160</v>
      </c>
      <c r="B22" s="4" t="n">
        <v>473</v>
      </c>
      <c r="C22" s="4" t="n">
        <v>472</v>
      </c>
      <c r="D22" s="4">
        <f>C22-B22</f>
        <v/>
      </c>
      <c r="E22" s="4" t="n">
        <v>239</v>
      </c>
      <c r="F22" s="5">
        <f>E22/C22</f>
        <v/>
      </c>
      <c r="G22" t="inlineStr">
        <is>
          <t>no PDF</t>
        </is>
      </c>
    </row>
    <row r="23">
      <c r="A23" t="n">
        <v>511</v>
      </c>
      <c r="B23" s="4" t="n">
        <v>582</v>
      </c>
      <c r="C23" s="4" t="n">
        <v>582</v>
      </c>
      <c r="D23" s="4">
        <f>C23-B23</f>
        <v/>
      </c>
      <c r="E23" s="4" t="n">
        <v>226</v>
      </c>
      <c r="F23" s="5">
        <f>E23/C23</f>
        <v/>
      </c>
      <c r="G23" t="inlineStr">
        <is>
          <t>no PDF</t>
        </is>
      </c>
    </row>
    <row r="24">
      <c r="A24" t="n">
        <v>517</v>
      </c>
      <c r="B24" s="4" t="n">
        <v>513</v>
      </c>
      <c r="C24" s="4" t="n">
        <v>512</v>
      </c>
      <c r="D24" s="4">
        <f>C24-B24</f>
        <v/>
      </c>
      <c r="E24" s="4" t="n">
        <v>220</v>
      </c>
      <c r="F24" s="5">
        <f>E24/C24</f>
        <v/>
      </c>
      <c r="G24" t="inlineStr">
        <is>
          <t>no PDF</t>
        </is>
      </c>
    </row>
    <row r="25">
      <c r="A25" t="n">
        <v>512</v>
      </c>
      <c r="B25" s="4" t="n">
        <v>476</v>
      </c>
      <c r="C25" s="4" t="n">
        <v>476</v>
      </c>
      <c r="D25" s="4">
        <f>C25-B25</f>
        <v/>
      </c>
      <c r="E25" s="4" t="n">
        <v>204</v>
      </c>
      <c r="F25" s="5">
        <f>E25/C25</f>
        <v/>
      </c>
      <c r="G25" t="inlineStr">
        <is>
          <t>no PDF</t>
        </is>
      </c>
    </row>
    <row r="26">
      <c r="A26" t="n">
        <v>1352</v>
      </c>
      <c r="B26" s="4" t="n">
        <v>462</v>
      </c>
      <c r="C26" s="4" t="n">
        <v>462</v>
      </c>
      <c r="D26" s="4">
        <f>C26-B26</f>
        <v/>
      </c>
      <c r="E26" s="4" t="n">
        <v>203</v>
      </c>
      <c r="F26" s="5">
        <f>E26/C26</f>
        <v/>
      </c>
      <c r="G26" t="inlineStr">
        <is>
          <t>no PDF</t>
        </is>
      </c>
    </row>
    <row r="27">
      <c r="A27" t="n">
        <v>513</v>
      </c>
      <c r="B27" s="4" t="n">
        <v>502</v>
      </c>
      <c r="C27" s="4" t="n">
        <v>501</v>
      </c>
      <c r="D27" s="4">
        <f>C27-B27</f>
        <v/>
      </c>
      <c r="E27" s="4" t="n">
        <v>190</v>
      </c>
      <c r="F27" s="5">
        <f>E27/C27</f>
        <v/>
      </c>
      <c r="G27" t="inlineStr">
        <is>
          <t>no PDF</t>
        </is>
      </c>
    </row>
    <row r="28">
      <c r="A28" s="14" t="n">
        <v>3688</v>
      </c>
      <c r="B28" s="15" t="n">
        <v>400</v>
      </c>
      <c r="C28" s="15" t="n"/>
      <c r="D28" s="15" t="n"/>
      <c r="E28" s="15" t="n"/>
      <c r="F28" s="16" t="n"/>
      <c r="G28" s="14" t="inlineStr">
        <is>
          <t>AUSENTE do Anexo I</t>
        </is>
      </c>
    </row>
    <row r="29">
      <c r="A29" s="14" t="n">
        <v>3862</v>
      </c>
      <c r="B29" s="15" t="n">
        <v>400</v>
      </c>
      <c r="C29" s="15" t="n"/>
      <c r="D29" s="15" t="n"/>
      <c r="E29" s="15" t="n"/>
      <c r="F29" s="16" t="n"/>
      <c r="G29" s="14" t="inlineStr">
        <is>
          <t>AUSENTE do Anexo I</t>
        </is>
      </c>
    </row>
    <row r="30">
      <c r="A30" s="14" t="n">
        <v>3832</v>
      </c>
      <c r="B30" s="15" t="n">
        <v>400</v>
      </c>
      <c r="C30" s="15" t="n"/>
      <c r="D30" s="15" t="n"/>
      <c r="E30" s="15" t="n"/>
      <c r="F30" s="16" t="n"/>
      <c r="G30" s="14" t="inlineStr">
        <is>
          <t>AUSENTE do Anexo I</t>
        </is>
      </c>
    </row>
    <row r="31">
      <c r="A31" s="14" t="n">
        <v>3308</v>
      </c>
      <c r="B31" s="15" t="n">
        <v>399</v>
      </c>
      <c r="C31" s="15" t="n"/>
      <c r="D31" s="15" t="n"/>
      <c r="E31" s="15" t="n"/>
      <c r="F31" s="16" t="n"/>
      <c r="G31" s="14" t="inlineStr">
        <is>
          <t>AUSENTE do Anexo I</t>
        </is>
      </c>
    </row>
    <row r="32">
      <c r="A32" s="14" t="n">
        <v>3442</v>
      </c>
      <c r="B32" s="15" t="n">
        <v>398</v>
      </c>
      <c r="C32" s="15" t="n"/>
      <c r="D32" s="15" t="n"/>
      <c r="E32" s="15" t="n"/>
      <c r="F32" s="16" t="n"/>
      <c r="G32" s="14" t="inlineStr">
        <is>
          <t>AUSENTE do Anexo I</t>
        </is>
      </c>
    </row>
    <row r="33">
      <c r="A33" s="13" t="inlineStr">
        <is>
          <t>Total</t>
        </is>
      </c>
      <c r="B33" s="17">
        <f>SUM(B5:B32)</f>
        <v/>
      </c>
      <c r="C33" s="17">
        <f>SUM(C5:C32)</f>
        <v/>
      </c>
      <c r="D33" s="17">
        <f>SUM(D5:D32)</f>
        <v/>
      </c>
      <c r="E33" s="17">
        <f>SUM(E5:E32)</f>
        <v/>
      </c>
      <c r="F33" s="18">
        <f>E33/C33</f>
        <v/>
      </c>
      <c r="G33" s="13" t="n"/>
    </row>
    <row r="35">
      <c r="A35" s="19" t="inlineStr">
        <is>
          <t>Comparecimento total de Dublin — faixa</t>
        </is>
      </c>
    </row>
    <row r="36">
      <c r="A36" t="inlineStr">
        <is>
          <t>Planejamento: comparecimento esperado (base B, prancheta Paredes_ABC)</t>
        </is>
      </c>
      <c r="B36" s="4" t="n">
        <v>11499</v>
      </c>
    </row>
    <row r="37">
      <c r="A37" t="inlineStr">
        <is>
          <t>Aptos nas urnas ausentes (planejamento)</t>
        </is>
      </c>
      <c r="B37" s="4">
        <f>SUMIF(G5:G32,"AUSENTE do Anexo I",B5:B32)</f>
        <v/>
      </c>
    </row>
    <row r="38">
      <c r="A38" t="inlineStr">
        <is>
          <t>Piso: só o que está no PDF</t>
        </is>
      </c>
      <c r="B38" s="4">
        <f>E33</f>
        <v/>
      </c>
    </row>
    <row r="39">
      <c r="A39" t="inlineStr">
        <is>
          <t>Premissa: % de comparecimento das urnas ausentes (hipótese = taxa das 23 urnas do PDF; editável)</t>
        </is>
      </c>
      <c r="B39" s="8">
        <f>F33</f>
        <v/>
      </c>
    </row>
    <row r="40">
      <c r="A40" t="inlineStr">
        <is>
          <t>Estimativa central de Dublin</t>
        </is>
      </c>
      <c r="B40" s="4">
        <f>E33+B37*B39</f>
        <v/>
      </c>
    </row>
    <row r="41">
      <c r="A41" t="inlineStr">
        <is>
          <t>Teto: se as urnas ausentes tivessem 100% de comparecimento</t>
        </is>
      </c>
      <c r="B41" s="4">
        <f>E33+B37</f>
        <v/>
      </c>
    </row>
    <row r="42">
      <c r="A42" t="inlineStr">
        <is>
          <t>Queda frente ao planejamento — piso (%)</t>
        </is>
      </c>
      <c r="B42" s="5">
        <f>B38/B36-1</f>
        <v/>
      </c>
    </row>
    <row r="43">
      <c r="A43" t="inlineStr">
        <is>
          <t>Queda frente ao planejamento — estimativa central (%)</t>
        </is>
      </c>
      <c r="B43" s="5">
        <f>B40/B36-1</f>
        <v/>
      </c>
    </row>
    <row r="44">
      <c r="A44" t="inlineStr">
        <is>
          <t>Queda frente ao planejamento — teto (%)</t>
        </is>
      </c>
      <c r="B44" s="5">
        <f>B41/B36-1</f>
        <v/>
      </c>
    </row>
    <row r="46">
      <c r="A46" t="inlineStr">
        <is>
          <t>A estimativa central é premissa, não dado: o comparecimento real das 5 urnas ausentes só sai do CSV/Resultados do TSE.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s="1" t="inlineStr">
        <is>
          <t>Conferência contra o Resumo Geral da Circunscrição (EXTERIOR)</t>
        </is>
      </c>
    </row>
    <row r="3">
      <c r="A3" s="12" t="inlineStr"/>
      <c r="B3" s="12" t="inlineStr">
        <is>
          <t>Total de eleitores</t>
        </is>
      </c>
      <c r="C3" s="12" t="inlineStr">
        <is>
          <t>Comparecimento</t>
        </is>
      </c>
    </row>
    <row r="4">
      <c r="A4" t="inlineStr">
        <is>
          <t>Total oficial (Resumo Geral, itens 2.2 e 2.3)</t>
        </is>
      </c>
      <c r="B4" s="4" t="n">
        <v>916534</v>
      </c>
      <c r="C4" s="4" t="n">
        <v>341766</v>
      </c>
    </row>
    <row r="5">
      <c r="A5" t="inlineStr">
        <is>
          <t>Soma dos municípios (aba "Por município")</t>
        </is>
      </c>
      <c r="B5" s="4">
        <f>'Por município'!E170</f>
        <v/>
      </c>
      <c r="C5" s="4">
        <f>'Por município'!F170</f>
        <v/>
      </c>
    </row>
    <row r="6">
      <c r="A6" s="13" t="inlineStr">
        <is>
          <t>Não alocado a município (oficial − soma)</t>
        </is>
      </c>
      <c r="B6" s="4">
        <f>B4-B5</f>
        <v/>
      </c>
      <c r="C6" s="4">
        <f>C4-C5</f>
        <v/>
      </c>
    </row>
    <row r="7">
      <c r="A7" t="inlineStr">
        <is>
          <t>Cobertura do total oficial</t>
        </is>
      </c>
      <c r="B7" s="5">
        <f>B5/B4</f>
        <v/>
      </c>
      <c r="C7" s="5">
        <f>C5/C4</f>
        <v/>
      </c>
    </row>
    <row r="9">
      <c r="A9" t="inlineStr">
        <is>
          <t>Seções principais: oficial 1.310 (instaladas) + 41 não instaladas; no Anexo I: 1.285 (incl. as 41 não instaladas).</t>
        </is>
      </c>
    </row>
    <row r="10">
      <c r="A10" t="inlineStr">
        <is>
          <t>A diferença corresponde a seções sem ocorrência registrada, que o Anexo I não lista e o PDF não permite atribuir a município.</t>
        </is>
      </c>
    </row>
    <row r="11">
      <c r="A11" t="inlineStr">
        <is>
          <t>Os valores por município são, por isso, um piso; para o total exato por município, use o CSV de resultados do TSE (dadosabertos.tse.jus.br).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Como foi extraído: texto do PDF "6257_ZZ_EXTERIOR_2026_T1_PRESIDENTE" (Anexo I). Cada seção principal aparece uma vez por seção agregada; deduplicado pela seção principal.</t>
        </is>
      </c>
    </row>
    <row r="2">
      <c r="A2" t="inlineStr">
        <is>
          <t>"Total de eleitores" = aptos da seção principal + aptos das agregadas (coluna "Total de eleitores" do relatório). "Comparecimento" = coluna homônima.</t>
        </is>
      </c>
    </row>
    <row r="3">
      <c r="A3" t="inlineStr">
        <is>
          <t>Abstenção e % comparecimento são fórmulas (total − comparecimento; comparecimento ÷ total).</t>
        </is>
      </c>
    </row>
    <row r="4">
      <c r="A4" t="inlineStr">
        <is>
          <t>Seções não instaladas (41, todas com menos de 30 eleitores) entram com comparecimento 0.</t>
        </is>
      </c>
    </row>
    <row r="5">
      <c r="A5" t="inlineStr">
        <is>
          <t>Município = a unidade do relatório do TSE (cidade/posto), não local de votação individual.</t>
        </is>
      </c>
    </row>
    <row r="6">
      <c r="A6" t="inlineStr">
        <is>
          <t>Dublin destacada em amarelo.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2026-10-07T11:23:19Z</dcterms:created>
  <dcterms:modified xmlns:dcterms="http://purl.org/dc/terms/" xmlns:xsi="http://www.w3.org/2001/XMLSchema-instance" xsi:type="dcterms:W3CDTF">2026-10-07T11:25:43Z</dcterms:modified>
</cp:coreProperties>
</file>