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0" activeTab="0" autoFilterDateGrouping="1"/>
  </bookViews>
  <sheets>
    <sheet xmlns:r="http://schemas.openxmlformats.org/officeDocument/2006/relationships" name="Resumo 2º turno" sheetId="1" state="visible" r:id="rId1"/>
    <sheet xmlns:r="http://schemas.openxmlformats.org/officeDocument/2006/relationships" name="Vagas por urna" sheetId="2" state="visible" r:id="rId2"/>
    <sheet xmlns:r="http://schemas.openxmlformats.org/officeDocument/2006/relationships" name="Funções a preencher" sheetId="3" state="visible" r:id="rId3"/>
    <sheet xmlns:r="http://schemas.openxmlformats.org/officeDocument/2006/relationships" name="Respostas 2º turno" sheetId="4" state="visible" r:id="rId4"/>
    <sheet xmlns:r="http://schemas.openxmlformats.org/officeDocument/2006/relationships" name="Mesarios" sheetId="5" state="visible" r:id="rId5"/>
    <sheet xmlns:r="http://schemas.openxmlformats.org/officeDocument/2006/relationships" name="Por secao" sheetId="6" state="visible" r:id="rId6"/>
    <sheet xmlns:r="http://schemas.openxmlformats.org/officeDocument/2006/relationships" name="Ranking" sheetId="7" state="visible" r:id="rId7"/>
    <sheet xmlns:r="http://schemas.openxmlformats.org/officeDocument/2006/relationships" name="Presenca por secao" sheetId="8" state="visible" r:id="rId8"/>
    <sheet xmlns:r="http://schemas.openxmlformats.org/officeDocument/2006/relationships" name="Resumo 1º turno" sheetId="9" state="visible" r:id="rId9"/>
    <sheet xmlns:r="http://schemas.openxmlformats.org/officeDocument/2006/relationships" name="Boletins" sheetId="10" state="visible" r:id="rId10"/>
    <sheet xmlns:r="http://schemas.openxmlformats.org/officeDocument/2006/relationships" name="Divergências" sheetId="11" state="visible" r:id="rId11"/>
    <sheet xmlns:r="http://schemas.openxmlformats.org/officeDocument/2006/relationships" name="Fora da lista" sheetId="12" state="visible" r:id="rId12"/>
  </sheets>
  <definedNames>
    <definedName name="_xlnm._FilterDatabase" localSheetId="2" hidden="1">'Funções a preencher'!$A$1:$J$58</definedName>
    <definedName name="_xlnm._FilterDatabase" localSheetId="4" hidden="1">'Mesarios'!$A$1:$O$112</definedName>
    <definedName name="_xlnm._FilterDatabase" localSheetId="7" hidden="1">'Presenca por secao'!$A$1:$O$29</definedName>
    <definedName name="_xlnm._FilterDatabase" localSheetId="10" hidden="1">'Divergências'!$A$1:$G$27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000"/>
    <numFmt numFmtId="165" formatCode="0.0%"/>
    <numFmt numFmtId="166" formatCode="\+#,##0;\-#,##0;0"/>
    <numFmt numFmtId="167" formatCode="\+0%;\-0%;0%"/>
    <numFmt numFmtId="168" formatCode="yyyy-mm-dd h:mm:ss"/>
    <numFmt numFmtId="169" formatCode="dd/mm/yyyy hh:mm"/>
  </numFmts>
  <fonts count="28">
    <font>
      <name val="Calibri"/>
      <charset val="1"/>
      <family val="2"/>
      <color theme="1"/>
      <sz val="11"/>
    </font>
    <font>
      <name val="Arial"/>
      <charset val="1"/>
      <b val="1"/>
      <sz val="12"/>
    </font>
    <font>
      <name val="Arial"/>
      <charset val="1"/>
      <sz val="11"/>
    </font>
    <font>
      <name val="Arial"/>
      <charset val="1"/>
      <b val="1"/>
      <sz val="11"/>
    </font>
    <font>
      <name val="Calibri"/>
      <charset val="1"/>
      <b val="1"/>
      <sz val="11"/>
    </font>
    <font>
      <name val="Calibri"/>
      <charset val="1"/>
      <i val="1"/>
      <sz val="11"/>
    </font>
    <font>
      <name val="Calibri"/>
      <charset val="1"/>
      <b val="1"/>
      <color rgb="FFFFFFFF"/>
      <sz val="11"/>
    </font>
    <font>
      <name val="Calibri"/>
      <charset val="1"/>
      <family val="2"/>
      <color rgb="FF0000FF"/>
      <sz val="11"/>
      <u val="single"/>
    </font>
    <font>
      <name val="Calibri"/>
      <charset val="1"/>
      <family val="2"/>
      <color theme="10"/>
      <sz val="11"/>
      <u val="single"/>
    </font>
    <font>
      <name val="Calibri"/>
      <charset val="1"/>
      <color rgb="FF808080"/>
      <sz val="9"/>
    </font>
    <font>
      <name val="Calibri"/>
      <charset val="1"/>
      <family val="2"/>
      <sz val="11"/>
      <u val="single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i val="1"/>
      <sz val="9"/>
    </font>
    <font>
      <name val="Arial"/>
      <charset val="1"/>
      <sz val="9"/>
    </font>
    <font>
      <name val="Arial"/>
      <charset val="1"/>
      <color rgb="FF0000FF"/>
      <sz val="9"/>
    </font>
    <font>
      <name val="Arial"/>
      <b val="1"/>
      <color rgb="FFFFFFFF"/>
      <sz val="11"/>
    </font>
    <font>
      <name val="Arial"/>
      <color rgb="FF0000FF"/>
      <sz val="11"/>
    </font>
    <font>
      <name val="Arial"/>
      <sz val="11"/>
    </font>
    <font>
      <name val="Arial"/>
      <b val="1"/>
      <sz val="11"/>
    </font>
    <font>
      <name val="Arial"/>
      <sz val="9"/>
    </font>
    <font>
      <name val="Arial"/>
      <color rgb="FF0000FF"/>
      <sz val="9"/>
    </font>
    <font>
      <name val="Arial"/>
      <i val="1"/>
      <sz val="9"/>
    </font>
    <font>
      <b val="1"/>
      <color rgb="FFFFFFFF"/>
    </font>
    <font>
      <b val="1"/>
    </font>
    <font>
      <i val="1"/>
      <sz val="9"/>
    </font>
    <font>
      <b val="1"/>
      <color rgb="FF1F3864"/>
      <sz val="13"/>
    </font>
    <font>
      <b val="1"/>
      <color rgb="FF1F3864"/>
      <sz val="12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1F38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auto="1"/>
      </top>
      <bottom/>
      <diagonal/>
    </border>
  </borders>
  <cellStyleXfs count="2">
    <xf numFmtId="0" fontId="0" fillId="0" borderId="0"/>
    <xf numFmtId="0" fontId="8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 wrapText="1"/>
    </xf>
    <xf numFmtId="0" fontId="6" fillId="2" borderId="0" pivotButton="0" quotePrefix="0" xfId="0"/>
    <xf numFmtId="164" fontId="2" fillId="0" borderId="0" pivotButton="0" quotePrefix="0" xfId="0"/>
    <xf numFmtId="0" fontId="7" fillId="0" borderId="0" pivotButton="0" quotePrefix="0" xfId="1"/>
    <xf numFmtId="0" fontId="9" fillId="0" borderId="0" pivotButton="0" quotePrefix="0" xfId="0"/>
    <xf numFmtId="49" fontId="2" fillId="0" borderId="0" pivotButton="0" quotePrefix="0" xfId="0"/>
    <xf numFmtId="0" fontId="10" fillId="0" borderId="0" pivotButton="0" quotePrefix="0" xfId="1"/>
    <xf numFmtId="0" fontId="6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0" fontId="4" fillId="0" borderId="0" pivotButton="0" quotePrefix="0" xfId="0"/>
    <xf numFmtId="0" fontId="11" fillId="2" borderId="0" applyAlignment="1" pivotButton="0" quotePrefix="0" xfId="0">
      <alignment horizontal="center" wrapText="1"/>
    </xf>
    <xf numFmtId="0" fontId="11" fillId="2" borderId="0" applyAlignment="1" pivotButton="0" quotePrefix="0" xfId="0">
      <alignment horizontal="left"/>
    </xf>
    <xf numFmtId="164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" fontId="12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3" fontId="3" fillId="0" borderId="2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right"/>
    </xf>
    <xf numFmtId="3" fontId="14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6" fillId="0" borderId="0" pivotButton="0" quotePrefix="0" xfId="0"/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27" fillId="0" borderId="0" pivotButton="0" quotePrefix="0" xfId="0"/>
    <xf numFmtId="0" fontId="0" fillId="0" borderId="0" applyAlignment="1" pivotButton="0" quotePrefix="0" xfId="0">
      <alignment vertical="top"/>
    </xf>
    <xf numFmtId="0" fontId="23" fillId="3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0" fillId="4" borderId="0" pivotButton="0" quotePrefix="0" xfId="0"/>
    <xf numFmtId="0" fontId="25" fillId="0" borderId="0" applyAlignment="1" pivotButton="0" quotePrefix="0" xfId="0">
      <alignment vertical="top" wrapText="1"/>
    </xf>
    <xf numFmtId="169" fontId="0" fillId="0" borderId="0" pivotButton="0" quotePrefix="0" xfId="0"/>
    <xf numFmtId="0" fontId="16" fillId="3" borderId="0" applyAlignment="1" pivotButton="0" quotePrefix="0" xfId="0">
      <alignment horizontal="center" wrapText="1"/>
    </xf>
    <xf numFmtId="0" fontId="16" fillId="3" borderId="0" applyAlignment="1" pivotButton="0" quotePrefix="0" xfId="0">
      <alignment horizontal="center" vertical="center" wrapText="1"/>
    </xf>
    <xf numFmtId="3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3" fontId="18" fillId="0" borderId="0" applyAlignment="1" pivotButton="0" quotePrefix="0" xfId="0">
      <alignment horizontal="center"/>
    </xf>
    <xf numFmtId="165" fontId="18" fillId="0" borderId="0" applyAlignment="1" pivotButton="0" quotePrefix="0" xfId="0">
      <alignment horizontal="center"/>
    </xf>
    <xf numFmtId="166" fontId="18" fillId="0" borderId="0" applyAlignment="1" pivotButton="0" quotePrefix="0" xfId="0">
      <alignment horizontal="center"/>
    </xf>
    <xf numFmtId="167" fontId="18" fillId="0" borderId="0" applyAlignment="1" pivotButton="0" quotePrefix="0" xfId="0">
      <alignment horizontal="center"/>
    </xf>
    <xf numFmtId="1" fontId="18" fillId="0" borderId="0" applyAlignment="1" pivotButton="0" quotePrefix="0" xfId="0">
      <alignment horizontal="center"/>
    </xf>
    <xf numFmtId="3" fontId="19" fillId="0" borderId="2" applyAlignment="1" pivotButton="0" quotePrefix="0" xfId="0">
      <alignment horizontal="center"/>
    </xf>
    <xf numFmtId="0" fontId="19" fillId="0" borderId="2" applyAlignment="1" pivotButton="0" quotePrefix="0" xfId="0">
      <alignment horizontal="center"/>
    </xf>
    <xf numFmtId="165" fontId="19" fillId="0" borderId="2" applyAlignment="1" pivotButton="0" quotePrefix="0" xfId="0">
      <alignment horizontal="center"/>
    </xf>
    <xf numFmtId="166" fontId="19" fillId="0" borderId="2" applyAlignment="1" pivotButton="0" quotePrefix="0" xfId="0">
      <alignment horizontal="center"/>
    </xf>
    <xf numFmtId="167" fontId="19" fillId="0" borderId="2" applyAlignment="1" pivotButton="0" quotePrefix="0" xfId="0">
      <alignment horizontal="center"/>
    </xf>
    <xf numFmtId="0" fontId="20" fillId="0" borderId="0" applyAlignment="1" pivotButton="0" quotePrefix="0" xfId="0">
      <alignment horizontal="right"/>
    </xf>
    <xf numFmtId="3" fontId="20" fillId="0" borderId="0" applyAlignment="1" pivotButton="0" quotePrefix="0" xfId="0">
      <alignment horizontal="center"/>
    </xf>
    <xf numFmtId="3" fontId="21" fillId="0" borderId="0" applyAlignment="1" pivotButton="0" quotePrefix="0" xfId="0">
      <alignment horizontal="center"/>
    </xf>
    <xf numFmtId="0" fontId="22" fillId="0" borderId="0" pivotButton="0" quotePrefix="0" xfId="0"/>
  </cellXfs>
  <cellStyles count="2">
    <cellStyle name="Normal" xfId="0" builtinId="0"/>
    <cellStyle name="Hyperlink" xfId="1" builtinId="8"/>
  </cellStyles>
  <dxfs count="38">
    <dxf>
      <font>
        <b val="1"/>
        <color rgb="FFFFFFFF"/>
      </font>
      <fill>
        <patternFill>
          <bgColor rgb="FF70AD47"/>
        </patternFill>
      </fill>
    </dxf>
    <dxf>
      <font>
        <b val="1"/>
        <color rgb="FF000000"/>
      </font>
      <fill>
        <patternFill>
          <bgColor rgb="FFFFD966"/>
        </patternFill>
      </fill>
    </dxf>
    <dxf>
      <font>
        <b val="1"/>
        <color rgb="FFFFFFFF"/>
      </font>
      <fill>
        <patternFill>
          <bgColor rgb="FFC00000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>
          <bgColor rgb="FFFCE4D6"/>
        </patternFill>
      </fill>
    </dxf>
    <dxf>
      <font>
        <b val="1"/>
        <color rgb="FFFFFFFF"/>
      </font>
      <fill>
        <patternFill>
          <bgColor rgb="FF70AD47"/>
        </patternFill>
      </fill>
    </dxf>
    <dxf>
      <font>
        <b val="1"/>
        <color rgb="FF000000"/>
      </font>
      <fill>
        <patternFill>
          <bgColor rgb="FFFFD966"/>
        </patternFill>
      </fill>
    </dxf>
    <dxf>
      <font>
        <b val="1"/>
        <color rgb="FFFFFFFF"/>
      </font>
      <fill>
        <patternFill>
          <bgColor rgb="FFC00000"/>
        </patternFill>
      </fill>
    </dxf>
    <dxf>
      <font>
        <color rgb="FF7F60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595959"/>
      </font>
      <fill>
        <patternFill>
          <bgColor rgb="FFE7E6E6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70AD47"/>
        </patternFill>
      </fill>
    </dxf>
    <dxf>
      <fill>
        <patternFill>
          <bgColor rgb="FFFFD966"/>
        </patternFill>
      </fill>
    </dxf>
    <dxf>
      <font>
        <b val="1"/>
        <color rgb="FFFFFFFF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95959"/>
      </font>
      <fill>
        <patternFill>
          <bgColor rgb="FFE7E6E6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FF9999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FC7CE"/>
        </patternFill>
      </fill>
    </dxf>
    <dxf>
      <font>
        <strike val="1"/>
        <color rgb="FF808080"/>
      </font>
    </dxf>
    <dxf>
      <fill>
        <patternFill>
          <bgColor rgb="FF70AD4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CE4D6"/>
      <rgbColor rgb="FFE7E6E6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D966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mailto:Felipegustavo.ie@outlook.com" TargetMode="External" Id="rId1"/><Relationship Type="http://schemas.openxmlformats.org/officeDocument/2006/relationships/hyperlink" Target="mailto:Ericcount19@hotmail.com" TargetMode="External" Id="rId2"/><Relationship Type="http://schemas.openxmlformats.org/officeDocument/2006/relationships/hyperlink" Target="mailto:ludmilamaiamaciel@gmail.com" TargetMode="External" Id="rId3"/><Relationship Type="http://schemas.openxmlformats.org/officeDocument/2006/relationships/hyperlink" Target="mailto:beabertocco@gmail.com" TargetMode="External" Id="rId4"/><Relationship Type="http://schemas.openxmlformats.org/officeDocument/2006/relationships/hyperlink" Target="mailto:anaclaudiamazurok@gmail.com" TargetMode="External" Id="rId5"/><Relationship Type="http://schemas.openxmlformats.org/officeDocument/2006/relationships/hyperlink" Target="mailto:caiorossiter@gmail.com" TargetMode="External" Id="rId6"/><Relationship Type="http://schemas.openxmlformats.org/officeDocument/2006/relationships/hyperlink" Target="mailto:camilamouramartins1987@gmail.com" TargetMode="External" Id="rId7"/><Relationship Type="http://schemas.openxmlformats.org/officeDocument/2006/relationships/hyperlink" Target="mailto:tbbfelix@gmail.com" TargetMode="External" Id="rId8"/><Relationship Type="http://schemas.openxmlformats.org/officeDocument/2006/relationships/hyperlink" Target="mailto:bianca.goulart@itamaraty.gov.br" TargetMode="External" Id="rId9"/><Relationship Type="http://schemas.openxmlformats.org/officeDocument/2006/relationships/hyperlink" Target="mailto:Luizsmania1@gmail.com" TargetMode="External" Id="rId10"/><Relationship Type="http://schemas.openxmlformats.org/officeDocument/2006/relationships/hyperlink" Target="mailto:isabelabattisti@gmail.com" TargetMode="External" Id="rId11"/><Relationship Type="http://schemas.openxmlformats.org/officeDocument/2006/relationships/hyperlink" Target="mailto:aline.barros@outlook.com" TargetMode="External" Id="rId12"/><Relationship Type="http://schemas.openxmlformats.org/officeDocument/2006/relationships/hyperlink" Target="mailto:DAIANELEALG@GMAIL.COM" TargetMode="External" Id="rId13"/><Relationship Type="http://schemas.openxmlformats.org/officeDocument/2006/relationships/hyperlink" Target="mailto:cinthia_ralmeida2@hotmail.com" TargetMode="External" Id="rId14"/><Relationship Type="http://schemas.openxmlformats.org/officeDocument/2006/relationships/hyperlink" Target="mailto:rafaelrodrigues2011@gmail.com" TargetMode="External" Id="rId15"/><Relationship Type="http://schemas.openxmlformats.org/officeDocument/2006/relationships/hyperlink" Target="mailto:tucanamariana@gmail.com" TargetMode="External" Id="rId16"/><Relationship Type="http://schemas.openxmlformats.org/officeDocument/2006/relationships/hyperlink" Target="mailto:pamela.silva@itamaraty.gov.br" TargetMode="External" Id="rId17"/><Relationship Type="http://schemas.openxmlformats.org/officeDocument/2006/relationships/hyperlink" Target="mailto:arthurgf96@gmail.com" TargetMode="External" Id="rId18"/><Relationship Type="http://schemas.openxmlformats.org/officeDocument/2006/relationships/hyperlink" Target="mailto:crislainedealmeida@hotmail.com" TargetMode="External" Id="rId19"/><Relationship Type="http://schemas.openxmlformats.org/officeDocument/2006/relationships/hyperlink" Target="mailto:cintiadosantos4@gmail.com" TargetMode="External" Id="rId20"/><Relationship Type="http://schemas.openxmlformats.org/officeDocument/2006/relationships/hyperlink" Target="mailto:nayara.mendes@itamaraty.gov.br" TargetMode="External" Id="rId21"/><Relationship Type="http://schemas.openxmlformats.org/officeDocument/2006/relationships/hyperlink" Target="mailto:jessicaoliveira9316@gmail.com" TargetMode="External" Id="rId22"/><Relationship Type="http://schemas.openxmlformats.org/officeDocument/2006/relationships/hyperlink" Target="mailto:ana.spelias@gmail.com" TargetMode="External" Id="rId23"/><Relationship Type="http://schemas.openxmlformats.org/officeDocument/2006/relationships/hyperlink" Target="mailto:dener.asm@gmail.com" TargetMode="External" Id="rId24"/><Relationship Type="http://schemas.openxmlformats.org/officeDocument/2006/relationships/hyperlink" Target="mailto:fabiola.malta@itamaraty.gov.br" TargetMode="External" Id="rId25"/><Relationship Type="http://schemas.openxmlformats.org/officeDocument/2006/relationships/hyperlink" Target="mailto:wellingtons24.santos@gmail.com" TargetMode="External" Id="rId26"/><Relationship Type="http://schemas.openxmlformats.org/officeDocument/2006/relationships/hyperlink" Target="mailto:almeidaedi@gmail.com" TargetMode="External" Id="rId27"/><Relationship Type="http://schemas.openxmlformats.org/officeDocument/2006/relationships/hyperlink" Target="mailto:gabrielsoares2111@gmail.com" TargetMode="External" Id="rId28"/><Relationship Type="http://schemas.openxmlformats.org/officeDocument/2006/relationships/hyperlink" Target="mailto:tulio.neves@itamaraty.gov.br" TargetMode="External" Id="rId29"/><Relationship Type="http://schemas.openxmlformats.org/officeDocument/2006/relationships/hyperlink" Target="mailto:tfregnani@outlook.com" TargetMode="External" Id="rId30"/><Relationship Type="http://schemas.openxmlformats.org/officeDocument/2006/relationships/hyperlink" Target="mailto:danielalmelo@gmail.com" TargetMode="External" Id="rId31"/><Relationship Type="http://schemas.openxmlformats.org/officeDocument/2006/relationships/hyperlink" Target="mailto:passos.matheus@gmail.com" TargetMode="External" Id="rId32"/><Relationship Type="http://schemas.openxmlformats.org/officeDocument/2006/relationships/hyperlink" Target="mailto:fernanda@brazilirelandchamber.com" TargetMode="External" Id="rId33"/><Relationship Type="http://schemas.openxmlformats.org/officeDocument/2006/relationships/hyperlink" Target="mailto:daniel20022304@gmail.com" TargetMode="External" Id="rId34"/><Relationship Type="http://schemas.openxmlformats.org/officeDocument/2006/relationships/hyperlink" Target="mailto:ingridmach@hotmail.com" TargetMode="External" Id="rId35"/><Relationship Type="http://schemas.openxmlformats.org/officeDocument/2006/relationships/hyperlink" Target="mailto:dulliusdaniela@gmail.com" TargetMode="External" Id="rId36"/><Relationship Type="http://schemas.openxmlformats.org/officeDocument/2006/relationships/hyperlink" Target="mailto:beatrizgilli@hotmail.com" TargetMode="External" Id="rId37"/><Relationship Type="http://schemas.openxmlformats.org/officeDocument/2006/relationships/hyperlink" Target="mailto:anabellacastroie@gmail.com" TargetMode="External" Id="rId38"/><Relationship Type="http://schemas.openxmlformats.org/officeDocument/2006/relationships/hyperlink" Target="mailto:juli_tico@hotmail.com" TargetMode="External" Id="rId39"/><Relationship Type="http://schemas.openxmlformats.org/officeDocument/2006/relationships/hyperlink" Target="mailto:lincolnguedesc@gmail.com" TargetMode="External" Id="rId40"/><Relationship Type="http://schemas.openxmlformats.org/officeDocument/2006/relationships/hyperlink" Target="mailto:Marcelatkondo@gmail.com" TargetMode="External" Id="rId41"/><Relationship Type="http://schemas.openxmlformats.org/officeDocument/2006/relationships/hyperlink" Target="mailto:talita.montysuma@gmail.com" TargetMode="External" Id="rId42"/><Relationship Type="http://schemas.openxmlformats.org/officeDocument/2006/relationships/hyperlink" Target="mailto:nvlousada@gmail.com" TargetMode="External" Id="rId43"/><Relationship Type="http://schemas.openxmlformats.org/officeDocument/2006/relationships/hyperlink" Target="mailto:anthonyedasilvagapito@gmail.com" TargetMode="External" Id="rId44"/><Relationship Type="http://schemas.openxmlformats.org/officeDocument/2006/relationships/hyperlink" Target="mailto:rochae@tcd.ie" TargetMode="External" Id="rId45"/><Relationship Type="http://schemas.openxmlformats.org/officeDocument/2006/relationships/hyperlink" Target="mailto:andersonsilverio14@gmail.com" TargetMode="External" Id="rId46"/><Relationship Type="http://schemas.openxmlformats.org/officeDocument/2006/relationships/hyperlink" Target="mailto:jussara.veneza@hotmail.com" TargetMode="External" Id="rId47"/><Relationship Type="http://schemas.openxmlformats.org/officeDocument/2006/relationships/hyperlink" Target="mailto:perontayna@gmail.com" TargetMode="External" Id="rId48"/><Relationship Type="http://schemas.openxmlformats.org/officeDocument/2006/relationships/hyperlink" Target="mailto:julianacampos21@hotmail.com" TargetMode="External" Id="rId49"/><Relationship Type="http://schemas.openxmlformats.org/officeDocument/2006/relationships/hyperlink" Target="mailto:lilianebr.dublin@gmail.com" TargetMode="External" Id="rId50"/><Relationship Type="http://schemas.openxmlformats.org/officeDocument/2006/relationships/hyperlink" Target="mailto:jack_610aparecida@hormail.com" TargetMode="External" Id="rId51"/><Relationship Type="http://schemas.openxmlformats.org/officeDocument/2006/relationships/hyperlink" Target="mailto:iglesias_diogo@hotmail.com" TargetMode="External" Id="rId52"/><Relationship Type="http://schemas.openxmlformats.org/officeDocument/2006/relationships/hyperlink" Target="mailto:ediones.savaris@gmail.com" TargetMode="External" Id="rId53"/><Relationship Type="http://schemas.openxmlformats.org/officeDocument/2006/relationships/hyperlink" Target="mailto:sousa.franciscaa@gmail.com" TargetMode="External" Id="rId54"/><Relationship Type="http://schemas.openxmlformats.org/officeDocument/2006/relationships/hyperlink" Target="mailto:auroramomolina@icloud.com" TargetMode="External" Id="rId55"/><Relationship Type="http://schemas.openxmlformats.org/officeDocument/2006/relationships/hyperlink" Target="mailto:lcaprezzi@gmail.com" TargetMode="External" Id="rId56"/><Relationship Type="http://schemas.openxmlformats.org/officeDocument/2006/relationships/hyperlink" Target="mailto:marianagasparetti@gmail.com" TargetMode="External" Id="rId57"/><Relationship Type="http://schemas.openxmlformats.org/officeDocument/2006/relationships/hyperlink" Target="mailto:malumorgante@gmail.com" TargetMode="External" Id="rId58"/><Relationship Type="http://schemas.openxmlformats.org/officeDocument/2006/relationships/hyperlink" Target="mailto:s.caetanoregina1979@gmail.com" TargetMode="External" Id="rId59"/><Relationship Type="http://schemas.openxmlformats.org/officeDocument/2006/relationships/hyperlink" Target="mailto:renan.williandc@gmail.com" TargetMode="External" Id="rId60"/><Relationship Type="http://schemas.openxmlformats.org/officeDocument/2006/relationships/hyperlink" Target="mailto:Tiagocare@icloud.com" TargetMode="External" Id="rId61"/><Relationship Type="http://schemas.openxmlformats.org/officeDocument/2006/relationships/hyperlink" Target="mailto:353helenafranmalves@gmail.com" TargetMode="External" Id="rId62"/><Relationship Type="http://schemas.openxmlformats.org/officeDocument/2006/relationships/hyperlink" Target="mailto:ftrindade3411@gmail.com" TargetMode="External" Id="rId63"/><Relationship Type="http://schemas.openxmlformats.org/officeDocument/2006/relationships/hyperlink" Target="mailto:fagneralmeidamorais@gmail.com" TargetMode="External" Id="rId64"/><Relationship Type="http://schemas.openxmlformats.org/officeDocument/2006/relationships/hyperlink" Target="mailto:julianawongm@gmail.com" TargetMode="External" Id="rId65"/><Relationship Type="http://schemas.openxmlformats.org/officeDocument/2006/relationships/hyperlink" Target="mailto:luisamontecarmelo@gmail.com" TargetMode="External" Id="rId66"/><Relationship Type="http://schemas.openxmlformats.org/officeDocument/2006/relationships/hyperlink" Target="mailto:maiik5463@hotmail.com" TargetMode="External" Id="rId67"/><Relationship Type="http://schemas.openxmlformats.org/officeDocument/2006/relationships/hyperlink" Target="mailto:matheuslw@gmail.com" TargetMode="External" Id="rId68"/><Relationship Type="http://schemas.openxmlformats.org/officeDocument/2006/relationships/hyperlink" Target="mailto:kaique.aquino.oliveira@esb.ie" TargetMode="External" Id="rId69"/><Relationship Type="http://schemas.openxmlformats.org/officeDocument/2006/relationships/hyperlink" Target="mailto:krla.dublin16@gmail.com" TargetMode="External" Id="rId70"/><Relationship Type="http://schemas.openxmlformats.org/officeDocument/2006/relationships/hyperlink" Target="mailto:louiseandrielleprandi@gmail.com" TargetMode="External" Id="rId71"/><Relationship Type="http://schemas.openxmlformats.org/officeDocument/2006/relationships/hyperlink" Target="mailto:paulalimao88@hotmail.com" TargetMode="External" Id="rId72"/><Relationship Type="http://schemas.openxmlformats.org/officeDocument/2006/relationships/hyperlink" Target="mailto:rogergoes@hotmail.com" TargetMode="External" Id="rId73"/><Relationship Type="http://schemas.openxmlformats.org/officeDocument/2006/relationships/hyperlink" Target="mailto:paulacipro@gmail.com" TargetMode="External" Id="rId74"/><Relationship Type="http://schemas.openxmlformats.org/officeDocument/2006/relationships/hyperlink" Target="mailto:luamdmoreira@gmail.com" TargetMode="External" Id="rId75"/><Relationship Type="http://schemas.openxmlformats.org/officeDocument/2006/relationships/hyperlink" Target="mailto:saradias1@gmail.com" TargetMode="External" Id="rId76"/><Relationship Type="http://schemas.openxmlformats.org/officeDocument/2006/relationships/hyperlink" Target="mailto:ednaldo283@gmail.com" TargetMode="External" Id="rId77"/><Relationship Type="http://schemas.openxmlformats.org/officeDocument/2006/relationships/hyperlink" Target="mailto:thaisterencio@hotmail.com" TargetMode="External" Id="rId78"/><Relationship Type="http://schemas.openxmlformats.org/officeDocument/2006/relationships/hyperlink" Target="mailto:vanessa.barbosa@itamaraty.gov.br" TargetMode="External" Id="rId79"/><Relationship Type="http://schemas.openxmlformats.org/officeDocument/2006/relationships/hyperlink" Target="mailto:leilarosaria@yahoo.com.br" TargetMode="External" Id="rId80"/><Relationship Type="http://schemas.openxmlformats.org/officeDocument/2006/relationships/hyperlink" Target="mailto:danielpessoa.cardeal@gmail.com" TargetMode="External" Id="rId81"/><Relationship Type="http://schemas.openxmlformats.org/officeDocument/2006/relationships/hyperlink" Target="mailto:sandro.cunha2008@gmail.com" TargetMode="External" Id="rId82"/><Relationship Type="http://schemas.openxmlformats.org/officeDocument/2006/relationships/hyperlink" Target="mailto:jair.correia@itamaraty.gov.br" TargetMode="External" Id="rId83"/><Relationship Type="http://schemas.openxmlformats.org/officeDocument/2006/relationships/hyperlink" Target="mailto:alaf.ribeiro.965@gmail.com" TargetMode="External" Id="rId84"/><Relationship Type="http://schemas.openxmlformats.org/officeDocument/2006/relationships/hyperlink" Target="mailto:jmendes_mendes@live.com" TargetMode="External" Id="rId85"/><Relationship Type="http://schemas.openxmlformats.org/officeDocument/2006/relationships/hyperlink" Target="mailto:alanegerssicaandrade@gmail.com" TargetMode="External" Id="rId86"/><Relationship Type="http://schemas.openxmlformats.org/officeDocument/2006/relationships/hyperlink" Target="mailto:maira.fabiani@itamaraty.gov.br" TargetMode="External" Id="rId87"/><Relationship Type="http://schemas.openxmlformats.org/officeDocument/2006/relationships/hyperlink" Target="mailto:alves.brenda65@gmail.com" TargetMode="External" Id="rId88"/><Relationship Type="http://schemas.openxmlformats.org/officeDocument/2006/relationships/hyperlink" Target="mailto:nadiaweber12@yahoo.com.br" TargetMode="External" Id="rId89"/><Relationship Type="http://schemas.openxmlformats.org/officeDocument/2006/relationships/hyperlink" Target="mailto:danferrareis@hotmail.com" TargetMode="External" Id="rId90"/><Relationship Type="http://schemas.openxmlformats.org/officeDocument/2006/relationships/hyperlink" Target="mailto:tstrhgt@gmail.com" TargetMode="External" Id="rId91"/><Relationship Type="http://schemas.openxmlformats.org/officeDocument/2006/relationships/hyperlink" Target="mailto:tifanyazuma@outlook.com" TargetMode="External" Id="rId92"/><Relationship Type="http://schemas.openxmlformats.org/officeDocument/2006/relationships/hyperlink" Target="mailto:Nicolicamilo@hotmail.com" TargetMode="External" Id="rId93"/><Relationship Type="http://schemas.openxmlformats.org/officeDocument/2006/relationships/hyperlink" Target="mailto:juliana.nunes2010@hotmail.com" TargetMode="External" Id="rId94"/><Relationship Type="http://schemas.openxmlformats.org/officeDocument/2006/relationships/hyperlink" Target="mailto:laurabvieiras@gmail.com" TargetMode="External" Id="rId95"/><Relationship Type="http://schemas.openxmlformats.org/officeDocument/2006/relationships/hyperlink" Target="mailto:lauroramos@outlook.com" TargetMode="External" Id="rId96"/><Relationship Type="http://schemas.openxmlformats.org/officeDocument/2006/relationships/hyperlink" Target="mailto:marinacoutor@gmail.com" TargetMode="External" Id="rId97"/><Relationship Type="http://schemas.openxmlformats.org/officeDocument/2006/relationships/hyperlink" Target="mailto:robertocanallijr@gmail.com" TargetMode="External" Id="rId98"/><Relationship Type="http://schemas.openxmlformats.org/officeDocument/2006/relationships/hyperlink" Target="mailto:thaylaeugeniob@gmail.com" TargetMode="External" Id="rId99"/><Relationship Type="http://schemas.openxmlformats.org/officeDocument/2006/relationships/hyperlink" Target="mailto:emillylaise@outlook.com" TargetMode="External" Id="rId100"/><Relationship Type="http://schemas.openxmlformats.org/officeDocument/2006/relationships/hyperlink" Target="mailto:cabralbruma@gmail.com" TargetMode="External" Id="rId1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tabSelected="1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38" t="inlineStr">
        <is>
          <t>Mesários — 2º turno 25/10/2026 · RDS Hall 2 · consolidação de 12/10/2026</t>
        </is>
      </c>
      <c r="B1" s="39" t="n"/>
      <c r="C1" s="40" t="n"/>
    </row>
    <row r="2">
      <c r="B2" s="39" t="n"/>
      <c r="C2" s="40" t="n"/>
    </row>
    <row r="3">
      <c r="A3" s="41" t="inlineStr">
        <is>
          <t>Formulário de confirmação</t>
        </is>
      </c>
      <c r="B3" s="39" t="n"/>
      <c r="C3" s="40" t="n"/>
    </row>
    <row r="4">
      <c r="A4" t="inlineStr">
        <is>
          <t>Respostas recebidas</t>
        </is>
      </c>
      <c r="B4" s="39" t="n">
        <v>72</v>
      </c>
      <c r="C4" s="40" t="inlineStr">
        <is>
          <t>IDs 1–75; ausentes no export: 40, 42, 67</t>
        </is>
      </c>
    </row>
    <row r="5">
      <c r="A5" t="inlineStr">
        <is>
          <t xml:space="preserve">  SIM</t>
        </is>
      </c>
      <c r="B5" s="39" t="n">
        <v>60</v>
      </c>
      <c r="C5" s="40" t="n"/>
    </row>
    <row r="6">
      <c r="A6" t="inlineStr">
        <is>
          <t xml:space="preserve">  NÃO</t>
        </is>
      </c>
      <c r="B6" s="39" t="n">
        <v>12</v>
      </c>
      <c r="C6" s="40" t="n"/>
    </row>
    <row r="7">
      <c r="A7" t="inlineStr">
        <is>
          <t>Casadas por nome exato</t>
        </is>
      </c>
      <c r="B7" s="39" t="n">
        <v>59</v>
      </c>
      <c r="C7" s="40" t="n"/>
    </row>
    <row r="8">
      <c r="A8" t="inlineStr">
        <is>
          <t>Casadas por equivalência (nome parcial/erro)</t>
        </is>
      </c>
      <c r="B8" s="39" t="n">
        <v>12</v>
      </c>
      <c r="C8" s="40" t="inlineStr">
        <is>
          <t>conferidas à mão; ver aba 'Respostas 2º turno'</t>
        </is>
      </c>
    </row>
    <row r="9">
      <c r="A9" t="inlineStr">
        <is>
          <t>Sem correspondência na lista de 111</t>
        </is>
      </c>
      <c r="B9" s="39" t="n">
        <v>1</v>
      </c>
      <c r="C9" s="40" t="inlineStr">
        <is>
          <t>Mariana Souza bode (SIM, ID 12) — revisão manual</t>
        </is>
      </c>
    </row>
    <row r="10">
      <c r="A10" t="inlineStr">
        <is>
          <t>Pessoas que responderam mais de uma vez</t>
        </is>
      </c>
      <c r="B10" s="39" t="n">
        <v>5</v>
      </c>
      <c r="C10" s="40" t="inlineStr">
        <is>
          <t>CAIO CESAR ROSSITER, DAIANE LEAL GOMES, LINCOLN CUBAS GUEDES, EDNALDO AZEVEDO DE NORONHA, THAYLA CHRISTINE EUGENIO BENTO</t>
        </is>
      </c>
    </row>
    <row r="11">
      <c r="A11" t="inlineStr">
        <is>
          <t xml:space="preserve">  com respostas conflitantes (vale a última)</t>
        </is>
      </c>
      <c r="B11" s="39" t="n">
        <v>1</v>
      </c>
      <c r="C11" s="40" t="inlineStr">
        <is>
          <t>LINCOLN CUBAS GUEDES</t>
        </is>
      </c>
    </row>
    <row r="12">
      <c r="B12" s="39" t="n"/>
      <c r="C12" s="40" t="n"/>
    </row>
    <row r="13">
      <c r="A13" s="41" t="inlineStr">
        <is>
          <t>Designados do 1º turno (lista Elo, 111)</t>
        </is>
      </c>
      <c r="B13" s="39" t="n"/>
      <c r="C13" s="40" t="n"/>
    </row>
    <row r="14">
      <c r="A14" t="inlineStr">
        <is>
          <t>Confirmados para o 2º turno</t>
        </is>
      </c>
      <c r="B14" s="39">
        <f>COUNTIF(Mesarios!$P$2:$P$112,"Confirmado")</f>
        <v/>
      </c>
      <c r="C14" s="40" t="n"/>
    </row>
    <row r="15">
      <c r="A15" t="inlineStr">
        <is>
          <t>Não voltam</t>
        </is>
      </c>
      <c r="B15" s="39">
        <f>COUNTIF(Mesarios!$P$2:$P$112,"Não volta")</f>
        <v/>
      </c>
      <c r="C15" s="40" t="n"/>
    </row>
    <row r="16">
      <c r="A16" t="inlineStr">
        <is>
          <t>Sem resposta</t>
        </is>
      </c>
      <c r="B16" s="39">
        <f>COUNTIF(Mesarios!$P$2:$P$112,"Sem resposta")</f>
        <v/>
      </c>
      <c r="C16" s="40" t="inlineStr">
        <is>
          <t>30 deles estiveram presentes no 1º turno — contatar primeiro</t>
        </is>
      </c>
    </row>
    <row r="17">
      <c r="A17" t="inlineStr">
        <is>
          <t>Conferência: soma = 111</t>
        </is>
      </c>
      <c r="B17" s="39">
        <f>IF(B14+B15+B16=COUNTA(Mesarios!D2:D112),"OK","ERRO")</f>
        <v/>
      </c>
      <c r="C17" s="40" t="n"/>
    </row>
    <row r="18">
      <c r="A18" t="inlineStr">
        <is>
          <t>Confirmados que estiveram presentes no 1º turno</t>
        </is>
      </c>
      <c r="B18" s="39">
        <f>COUNTIFS(Mesarios!$P$2:$P$112,"Confirmado",Mesarios!$M$2:$M$112,"SIM")</f>
        <v/>
      </c>
      <c r="C18" s="40" t="n"/>
    </row>
    <row r="19">
      <c r="A19" t="inlineStr">
        <is>
          <t>Confirmados que foram AUSENTES no 1º turno</t>
        </is>
      </c>
      <c r="B19" s="39">
        <f>COUNTIFS(Mesarios!$P$2:$P$112,"Confirmado",Mesarios!$M$2:$M$112,"NAO")</f>
        <v/>
      </c>
      <c r="C19" s="40" t="inlineStr">
        <is>
          <t>LINCOLN CUBAS GUEDES</t>
        </is>
      </c>
    </row>
    <row r="20">
      <c r="B20" s="39" t="n"/>
      <c r="C20" s="40" t="n"/>
    </row>
    <row r="21">
      <c r="A21" s="41" t="inlineStr">
        <is>
          <t>Funções (28 urnas × 4)</t>
        </is>
      </c>
      <c r="B21" s="39" t="n"/>
      <c r="C21" s="40" t="n"/>
    </row>
    <row r="22">
      <c r="A22" t="inlineStr">
        <is>
          <t>Funções totais</t>
        </is>
      </c>
      <c r="B22" s="39" t="n">
        <v>112</v>
      </c>
      <c r="C22" s="40" t="inlineStr">
        <is>
          <t>1 sem designado desde o 1º turno (3862, 2º Mesário)</t>
        </is>
      </c>
    </row>
    <row r="23">
      <c r="A23" t="inlineStr">
        <is>
          <t>Preenchidas (confirmados)</t>
        </is>
      </c>
      <c r="B23" s="39">
        <f>'Vagas por urna'!N30</f>
        <v/>
      </c>
      <c r="C23" s="40" t="n"/>
    </row>
    <row r="24">
      <c r="A24" t="inlineStr">
        <is>
          <t>Abertas</t>
        </is>
      </c>
      <c r="B24" s="39">
        <f>'Vagas por urna'!O30</f>
        <v/>
      </c>
      <c r="C24" s="40" t="n"/>
    </row>
    <row r="25">
      <c r="A25" t="inlineStr">
        <is>
          <t>Meta (Alto/Médio = 4, Baixo = meta editável)</t>
        </is>
      </c>
      <c r="B25" s="39">
        <f>'Vagas por urna'!E30</f>
        <v/>
      </c>
      <c r="C25" s="40" t="inlineStr">
        <is>
          <t>7 urnas de lotação integral: 3315, 3322, 3313, 3311, 3302, 3179, 3306</t>
        </is>
      </c>
    </row>
    <row r="26">
      <c r="A26" t="inlineStr">
        <is>
          <t>Déficit vs meta (funções a preencher no mínimo)</t>
        </is>
      </c>
      <c r="B26" s="39">
        <f>'Vagas por urna'!P30</f>
        <v/>
      </c>
      <c r="C26" s="40" t="inlineStr">
        <is>
          <t>no retrato de 12/10: 13 nas prioritárias + 25 nas Baixo; 31 são de designado sem resposta, 7 exigem substituto</t>
        </is>
      </c>
    </row>
    <row r="27">
      <c r="A27" t="inlineStr">
        <is>
          <t>Urnas sem Presidente confirmado</t>
        </is>
      </c>
      <c r="B27" s="39">
        <f>COUNTIF('Vagas por urna'!G2:G29,"&lt;&gt;Confirmado")</f>
        <v/>
      </c>
      <c r="C27" s="40" t="n"/>
    </row>
    <row r="28">
      <c r="A28" t="inlineStr">
        <is>
          <t>Urnas com as 4 funções confirmadas</t>
        </is>
      </c>
      <c r="B28" s="39">
        <f>COUNTIF('Vagas por urna'!N2:N29,4)</f>
        <v/>
      </c>
      <c r="C28" s="40" t="inlineStr">
        <is>
          <t>3142, 517</t>
        </is>
      </c>
    </row>
    <row r="29">
      <c r="B29" s="39" t="n"/>
      <c r="C29" s="40" t="n"/>
    </row>
    <row r="30" ht="130" customHeight="1">
      <c r="A30" s="42" t="inlineStr">
        <is>
          <t>Nota</t>
        </is>
      </c>
      <c r="B30" s="39" t="n"/>
      <c r="C30" s="40" t="inlineStr">
        <is>
          <t>Fontes: (1) 2026.10.12_Mesários_Seções_Atualizadas — só 'Por secao' M–W (BUs de 04/10) e 'Ranking'; (2) 2026.10.12_Mesários_Comparecimento confirmado — 'Resumo' (agora 'Resumo 1º turno'), 'Mesarios', 'Presenca por secao', 'Por secao' A–L, 'Boletins', 'Divergências', 'Fora da lista'; (3) formulário de confirmação do 2º turno, respostas 1–75. A meta 3 nas urnas Baixo e a ordem de prioridade das funções são premissas operacionais, não regra legal. Thalison Miquilini Motta (aba 'Fora da lista') atuou em 3322 sem estar na lista e não respondeu ao formulário — possível reforço.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10" customWidth="1" min="4" max="4"/>
    <col width="6" customWidth="1" min="5" max="5"/>
    <col width="36" customWidth="1" min="6" max="6"/>
    <col width="13" customWidth="1" min="7" max="7"/>
    <col width="36" customWidth="1" min="8" max="8"/>
    <col width="13" customWidth="1" min="9" max="9"/>
    <col width="36" customWidth="1" min="10" max="10"/>
    <col width="13" customWidth="1" min="11" max="11"/>
    <col width="36" customWidth="1" min="12" max="12"/>
    <col width="13" customWidth="1" min="13" max="13"/>
    <col width="11" customWidth="1" min="14" max="14"/>
    <col width="10" customWidth="1" min="15" max="15"/>
    <col width="10" customWidth="1" min="16" max="16"/>
    <col width="34" customWidth="1" min="17" max="17"/>
  </cols>
  <sheetData>
    <row r="1" ht="32" customHeight="1">
      <c r="A1" s="43" t="inlineStr">
        <is>
          <t>Pos.</t>
        </is>
      </c>
      <c r="B1" s="43" t="inlineStr">
        <is>
          <t>Seção</t>
        </is>
      </c>
      <c r="C1" s="43" t="inlineStr">
        <is>
          <t>Efetivo (BU)</t>
        </is>
      </c>
      <c r="D1" s="43" t="inlineStr">
        <is>
          <t>Faixa efetiva</t>
        </is>
      </c>
      <c r="E1" s="43" t="inlineStr">
        <is>
          <t>Meta</t>
        </is>
      </c>
      <c r="F1" s="43" t="inlineStr">
        <is>
          <t>Presidente</t>
        </is>
      </c>
      <c r="G1" s="43" t="inlineStr">
        <is>
          <t>Status</t>
        </is>
      </c>
      <c r="H1" s="43" t="inlineStr">
        <is>
          <t>1º Mesário</t>
        </is>
      </c>
      <c r="I1" s="43" t="inlineStr">
        <is>
          <t>Status</t>
        </is>
      </c>
      <c r="J1" s="43" t="inlineStr">
        <is>
          <t>2º Mesário</t>
        </is>
      </c>
      <c r="K1" s="43" t="inlineStr">
        <is>
          <t>Status</t>
        </is>
      </c>
      <c r="L1" s="43" t="inlineStr">
        <is>
          <t>1º Secretário</t>
        </is>
      </c>
      <c r="M1" s="43" t="inlineStr">
        <is>
          <t>Status</t>
        </is>
      </c>
      <c r="N1" s="43" t="inlineStr">
        <is>
          <t>Confirmados</t>
        </is>
      </c>
      <c r="O1" s="43" t="inlineStr">
        <is>
          <t>Abertas (de 4)</t>
        </is>
      </c>
      <c r="P1" s="43" t="inlineStr">
        <is>
          <t>Déficit vs meta</t>
        </is>
      </c>
      <c r="Q1" s="43" t="inlineStr">
        <is>
          <t>Alerta</t>
        </is>
      </c>
    </row>
    <row r="2">
      <c r="A2" t="n">
        <v>1</v>
      </c>
      <c r="B2" t="n">
        <v>3315</v>
      </c>
      <c r="C2">
        <f>INDEX('Por secao'!$Q$2:$Q$29,MATCH($B2,'Por secao'!$A$2:$A$29,0))</f>
        <v/>
      </c>
      <c r="D2">
        <f>INDEX('Por secao'!$W$2:$W$29,MATCH($B2,'Por secao'!$A$2:$A$29,0))</f>
        <v/>
      </c>
      <c r="E2">
        <f>IF(OR(D2="Alto",D2="Médio"),4,$C$32)</f>
        <v/>
      </c>
      <c r="F2">
        <f>IFERROR(INDEX(Mesarios!$D$2:$D$112,MATCH($B2&amp;"|Presidente",Mesarios!$F$2:$F$112,0)),"—")</f>
        <v/>
      </c>
      <c r="G2">
        <f>IFERROR(INDEX(Mesarios!$P$2:$P$112,MATCH($B2&amp;"|Presidente",Mesarios!$F$2:$F$112,0)),"VAGO")</f>
        <v/>
      </c>
      <c r="H2">
        <f>IFERROR(INDEX(Mesarios!$D$2:$D$112,MATCH($B2&amp;"|1º Mesário",Mesarios!$F$2:$F$112,0)),"—")</f>
        <v/>
      </c>
      <c r="I2">
        <f>IFERROR(INDEX(Mesarios!$P$2:$P$112,MATCH($B2&amp;"|1º Mesário",Mesarios!$F$2:$F$112,0)),"VAGO")</f>
        <v/>
      </c>
      <c r="J2">
        <f>IFERROR(INDEX(Mesarios!$D$2:$D$112,MATCH($B2&amp;"|2º Mesário",Mesarios!$F$2:$F$112,0)),"—")</f>
        <v/>
      </c>
      <c r="K2">
        <f>IFERROR(INDEX(Mesarios!$P$2:$P$112,MATCH($B2&amp;"|2º Mesário",Mesarios!$F$2:$F$112,0)),"VAGO")</f>
        <v/>
      </c>
      <c r="L2">
        <f>IFERROR(INDEX(Mesarios!$D$2:$D$112,MATCH($B2&amp;"|1º Secretário",Mesarios!$F$2:$F$112,0)),"—")</f>
        <v/>
      </c>
      <c r="M2">
        <f>IFERROR(INDEX(Mesarios!$P$2:$P$112,MATCH($B2&amp;"|1º Secretário",Mesarios!$F$2:$F$112,0)),"VAGO")</f>
        <v/>
      </c>
      <c r="N2">
        <f>(G2="Confirmado")+(I2="Confirmado")+(K2="Confirmado")+(M2="Confirmado")</f>
        <v/>
      </c>
      <c r="O2">
        <f>4-N2</f>
        <v/>
      </c>
      <c r="P2">
        <f>MAX(0,E2-N2)</f>
        <v/>
      </c>
      <c r="Q2">
        <f>IF(G2&lt;&gt;"Confirmado","Sem Presidente confirmado","")&amp;IF(AND(G2&lt;&gt;"Confirmado",P2&gt;0)," · ","")&amp;IF(P2&gt;0,"Faltam "&amp;P2&amp;" para a meta","")</f>
        <v/>
      </c>
    </row>
    <row r="3">
      <c r="A3" t="n">
        <v>2</v>
      </c>
      <c r="B3" t="n">
        <v>3322</v>
      </c>
      <c r="C3">
        <f>INDEX('Por secao'!$Q$2:$Q$29,MATCH($B3,'Por secao'!$A$2:$A$29,0))</f>
        <v/>
      </c>
      <c r="D3">
        <f>INDEX('Por secao'!$W$2:$W$29,MATCH($B3,'Por secao'!$A$2:$A$29,0))</f>
        <v/>
      </c>
      <c r="E3">
        <f>IF(OR(D3="Alto",D3="Médio"),4,$C$32)</f>
        <v/>
      </c>
      <c r="F3">
        <f>IFERROR(INDEX(Mesarios!$D$2:$D$112,MATCH($B3&amp;"|Presidente",Mesarios!$F$2:$F$112,0)),"—")</f>
        <v/>
      </c>
      <c r="G3">
        <f>IFERROR(INDEX(Mesarios!$P$2:$P$112,MATCH($B3&amp;"|Presidente",Mesarios!$F$2:$F$112,0)),"VAGO")</f>
        <v/>
      </c>
      <c r="H3">
        <f>IFERROR(INDEX(Mesarios!$D$2:$D$112,MATCH($B3&amp;"|1º Mesário",Mesarios!$F$2:$F$112,0)),"—")</f>
        <v/>
      </c>
      <c r="I3">
        <f>IFERROR(INDEX(Mesarios!$P$2:$P$112,MATCH($B3&amp;"|1º Mesário",Mesarios!$F$2:$F$112,0)),"VAGO")</f>
        <v/>
      </c>
      <c r="J3">
        <f>IFERROR(INDEX(Mesarios!$D$2:$D$112,MATCH($B3&amp;"|2º Mesário",Mesarios!$F$2:$F$112,0)),"—")</f>
        <v/>
      </c>
      <c r="K3">
        <f>IFERROR(INDEX(Mesarios!$P$2:$P$112,MATCH($B3&amp;"|2º Mesário",Mesarios!$F$2:$F$112,0)),"VAGO")</f>
        <v/>
      </c>
      <c r="L3">
        <f>IFERROR(INDEX(Mesarios!$D$2:$D$112,MATCH($B3&amp;"|1º Secretário",Mesarios!$F$2:$F$112,0)),"—")</f>
        <v/>
      </c>
      <c r="M3">
        <f>IFERROR(INDEX(Mesarios!$P$2:$P$112,MATCH($B3&amp;"|1º Secretário",Mesarios!$F$2:$F$112,0)),"VAGO")</f>
        <v/>
      </c>
      <c r="N3">
        <f>(G3="Confirmado")+(I3="Confirmado")+(K3="Confirmado")+(M3="Confirmado")</f>
        <v/>
      </c>
      <c r="O3">
        <f>4-N3</f>
        <v/>
      </c>
      <c r="P3">
        <f>MAX(0,E3-N3)</f>
        <v/>
      </c>
      <c r="Q3">
        <f>IF(G3&lt;&gt;"Confirmado","Sem Presidente confirmado","")&amp;IF(AND(G3&lt;&gt;"Confirmado",P3&gt;0)," · ","")&amp;IF(P3&gt;0,"Faltam "&amp;P3&amp;" para a meta","")</f>
        <v/>
      </c>
    </row>
    <row r="4">
      <c r="A4" t="n">
        <v>3</v>
      </c>
      <c r="B4" t="n">
        <v>3313</v>
      </c>
      <c r="C4">
        <f>INDEX('Por secao'!$Q$2:$Q$29,MATCH($B4,'Por secao'!$A$2:$A$29,0))</f>
        <v/>
      </c>
      <c r="D4">
        <f>INDEX('Por secao'!$W$2:$W$29,MATCH($B4,'Por secao'!$A$2:$A$29,0))</f>
        <v/>
      </c>
      <c r="E4">
        <f>IF(OR(D4="Alto",D4="Médio"),4,$C$32)</f>
        <v/>
      </c>
      <c r="F4">
        <f>IFERROR(INDEX(Mesarios!$D$2:$D$112,MATCH($B4&amp;"|Presidente",Mesarios!$F$2:$F$112,0)),"—")</f>
        <v/>
      </c>
      <c r="G4">
        <f>IFERROR(INDEX(Mesarios!$P$2:$P$112,MATCH($B4&amp;"|Presidente",Mesarios!$F$2:$F$112,0)),"VAGO")</f>
        <v/>
      </c>
      <c r="H4">
        <f>IFERROR(INDEX(Mesarios!$D$2:$D$112,MATCH($B4&amp;"|1º Mesário",Mesarios!$F$2:$F$112,0)),"—")</f>
        <v/>
      </c>
      <c r="I4">
        <f>IFERROR(INDEX(Mesarios!$P$2:$P$112,MATCH($B4&amp;"|1º Mesário",Mesarios!$F$2:$F$112,0)),"VAGO")</f>
        <v/>
      </c>
      <c r="J4">
        <f>IFERROR(INDEX(Mesarios!$D$2:$D$112,MATCH($B4&amp;"|2º Mesário",Mesarios!$F$2:$F$112,0)),"—")</f>
        <v/>
      </c>
      <c r="K4">
        <f>IFERROR(INDEX(Mesarios!$P$2:$P$112,MATCH($B4&amp;"|2º Mesário",Mesarios!$F$2:$F$112,0)),"VAGO")</f>
        <v/>
      </c>
      <c r="L4">
        <f>IFERROR(INDEX(Mesarios!$D$2:$D$112,MATCH($B4&amp;"|1º Secretário",Mesarios!$F$2:$F$112,0)),"—")</f>
        <v/>
      </c>
      <c r="M4">
        <f>IFERROR(INDEX(Mesarios!$P$2:$P$112,MATCH($B4&amp;"|1º Secretário",Mesarios!$F$2:$F$112,0)),"VAGO")</f>
        <v/>
      </c>
      <c r="N4">
        <f>(G4="Confirmado")+(I4="Confirmado")+(K4="Confirmado")+(M4="Confirmado")</f>
        <v/>
      </c>
      <c r="O4">
        <f>4-N4</f>
        <v/>
      </c>
      <c r="P4">
        <f>MAX(0,E4-N4)</f>
        <v/>
      </c>
      <c r="Q4">
        <f>IF(G4&lt;&gt;"Confirmado","Sem Presidente confirmado","")&amp;IF(AND(G4&lt;&gt;"Confirmado",P4&gt;0)," · ","")&amp;IF(P4&gt;0,"Faltam "&amp;P4&amp;" para a meta","")</f>
        <v/>
      </c>
    </row>
    <row r="5">
      <c r="A5" t="n">
        <v>4</v>
      </c>
      <c r="B5" t="n">
        <v>3311</v>
      </c>
      <c r="C5">
        <f>INDEX('Por secao'!$Q$2:$Q$29,MATCH($B5,'Por secao'!$A$2:$A$29,0))</f>
        <v/>
      </c>
      <c r="D5">
        <f>INDEX('Por secao'!$W$2:$W$29,MATCH($B5,'Por secao'!$A$2:$A$29,0))</f>
        <v/>
      </c>
      <c r="E5">
        <f>IF(OR(D5="Alto",D5="Médio"),4,$C$32)</f>
        <v/>
      </c>
      <c r="F5">
        <f>IFERROR(INDEX(Mesarios!$D$2:$D$112,MATCH($B5&amp;"|Presidente",Mesarios!$F$2:$F$112,0)),"—")</f>
        <v/>
      </c>
      <c r="G5">
        <f>IFERROR(INDEX(Mesarios!$P$2:$P$112,MATCH($B5&amp;"|Presidente",Mesarios!$F$2:$F$112,0)),"VAGO")</f>
        <v/>
      </c>
      <c r="H5">
        <f>IFERROR(INDEX(Mesarios!$D$2:$D$112,MATCH($B5&amp;"|1º Mesário",Mesarios!$F$2:$F$112,0)),"—")</f>
        <v/>
      </c>
      <c r="I5">
        <f>IFERROR(INDEX(Mesarios!$P$2:$P$112,MATCH($B5&amp;"|1º Mesário",Mesarios!$F$2:$F$112,0)),"VAGO")</f>
        <v/>
      </c>
      <c r="J5">
        <f>IFERROR(INDEX(Mesarios!$D$2:$D$112,MATCH($B5&amp;"|2º Mesário",Mesarios!$F$2:$F$112,0)),"—")</f>
        <v/>
      </c>
      <c r="K5">
        <f>IFERROR(INDEX(Mesarios!$P$2:$P$112,MATCH($B5&amp;"|2º Mesário",Mesarios!$F$2:$F$112,0)),"VAGO")</f>
        <v/>
      </c>
      <c r="L5">
        <f>IFERROR(INDEX(Mesarios!$D$2:$D$112,MATCH($B5&amp;"|1º Secretário",Mesarios!$F$2:$F$112,0)),"—")</f>
        <v/>
      </c>
      <c r="M5">
        <f>IFERROR(INDEX(Mesarios!$P$2:$P$112,MATCH($B5&amp;"|1º Secretário",Mesarios!$F$2:$F$112,0)),"VAGO")</f>
        <v/>
      </c>
      <c r="N5">
        <f>(G5="Confirmado")+(I5="Confirmado")+(K5="Confirmado")+(M5="Confirmado")</f>
        <v/>
      </c>
      <c r="O5">
        <f>4-N5</f>
        <v/>
      </c>
      <c r="P5">
        <f>MAX(0,E5-N5)</f>
        <v/>
      </c>
      <c r="Q5">
        <f>IF(G5&lt;&gt;"Confirmado","Sem Presidente confirmado","")&amp;IF(AND(G5&lt;&gt;"Confirmado",P5&gt;0)," · ","")&amp;IF(P5&gt;0,"Faltam "&amp;P5&amp;" para a meta","")</f>
        <v/>
      </c>
    </row>
    <row r="6">
      <c r="A6" t="n">
        <v>5</v>
      </c>
      <c r="B6" t="n">
        <v>3302</v>
      </c>
      <c r="C6">
        <f>INDEX('Por secao'!$Q$2:$Q$29,MATCH($B6,'Por secao'!$A$2:$A$29,0))</f>
        <v/>
      </c>
      <c r="D6">
        <f>INDEX('Por secao'!$W$2:$W$29,MATCH($B6,'Por secao'!$A$2:$A$29,0))</f>
        <v/>
      </c>
      <c r="E6">
        <f>IF(OR(D6="Alto",D6="Médio"),4,$C$32)</f>
        <v/>
      </c>
      <c r="F6">
        <f>IFERROR(INDEX(Mesarios!$D$2:$D$112,MATCH($B6&amp;"|Presidente",Mesarios!$F$2:$F$112,0)),"—")</f>
        <v/>
      </c>
      <c r="G6">
        <f>IFERROR(INDEX(Mesarios!$P$2:$P$112,MATCH($B6&amp;"|Presidente",Mesarios!$F$2:$F$112,0)),"VAGO")</f>
        <v/>
      </c>
      <c r="H6">
        <f>IFERROR(INDEX(Mesarios!$D$2:$D$112,MATCH($B6&amp;"|1º Mesário",Mesarios!$F$2:$F$112,0)),"—")</f>
        <v/>
      </c>
      <c r="I6">
        <f>IFERROR(INDEX(Mesarios!$P$2:$P$112,MATCH($B6&amp;"|1º Mesário",Mesarios!$F$2:$F$112,0)),"VAGO")</f>
        <v/>
      </c>
      <c r="J6">
        <f>IFERROR(INDEX(Mesarios!$D$2:$D$112,MATCH($B6&amp;"|2º Mesário",Mesarios!$F$2:$F$112,0)),"—")</f>
        <v/>
      </c>
      <c r="K6">
        <f>IFERROR(INDEX(Mesarios!$P$2:$P$112,MATCH($B6&amp;"|2º Mesário",Mesarios!$F$2:$F$112,0)),"VAGO")</f>
        <v/>
      </c>
      <c r="L6">
        <f>IFERROR(INDEX(Mesarios!$D$2:$D$112,MATCH($B6&amp;"|1º Secretário",Mesarios!$F$2:$F$112,0)),"—")</f>
        <v/>
      </c>
      <c r="M6">
        <f>IFERROR(INDEX(Mesarios!$P$2:$P$112,MATCH($B6&amp;"|1º Secretário",Mesarios!$F$2:$F$112,0)),"VAGO")</f>
        <v/>
      </c>
      <c r="N6">
        <f>(G6="Confirmado")+(I6="Confirmado")+(K6="Confirmado")+(M6="Confirmado")</f>
        <v/>
      </c>
      <c r="O6">
        <f>4-N6</f>
        <v/>
      </c>
      <c r="P6">
        <f>MAX(0,E6-N6)</f>
        <v/>
      </c>
      <c r="Q6">
        <f>IF(G6&lt;&gt;"Confirmado","Sem Presidente confirmado","")&amp;IF(AND(G6&lt;&gt;"Confirmado",P6&gt;0)," · ","")&amp;IF(P6&gt;0,"Faltam "&amp;P6&amp;" para a meta","")</f>
        <v/>
      </c>
    </row>
    <row r="7">
      <c r="A7" t="n">
        <v>6</v>
      </c>
      <c r="B7" t="n">
        <v>3179</v>
      </c>
      <c r="C7">
        <f>INDEX('Por secao'!$Q$2:$Q$29,MATCH($B7,'Por secao'!$A$2:$A$29,0))</f>
        <v/>
      </c>
      <c r="D7">
        <f>INDEX('Por secao'!$W$2:$W$29,MATCH($B7,'Por secao'!$A$2:$A$29,0))</f>
        <v/>
      </c>
      <c r="E7">
        <f>IF(OR(D7="Alto",D7="Médio"),4,$C$32)</f>
        <v/>
      </c>
      <c r="F7">
        <f>IFERROR(INDEX(Mesarios!$D$2:$D$112,MATCH($B7&amp;"|Presidente",Mesarios!$F$2:$F$112,0)),"—")</f>
        <v/>
      </c>
      <c r="G7">
        <f>IFERROR(INDEX(Mesarios!$P$2:$P$112,MATCH($B7&amp;"|Presidente",Mesarios!$F$2:$F$112,0)),"VAGO")</f>
        <v/>
      </c>
      <c r="H7">
        <f>IFERROR(INDEX(Mesarios!$D$2:$D$112,MATCH($B7&amp;"|1º Mesário",Mesarios!$F$2:$F$112,0)),"—")</f>
        <v/>
      </c>
      <c r="I7">
        <f>IFERROR(INDEX(Mesarios!$P$2:$P$112,MATCH($B7&amp;"|1º Mesário",Mesarios!$F$2:$F$112,0)),"VAGO")</f>
        <v/>
      </c>
      <c r="J7">
        <f>IFERROR(INDEX(Mesarios!$D$2:$D$112,MATCH($B7&amp;"|2º Mesário",Mesarios!$F$2:$F$112,0)),"—")</f>
        <v/>
      </c>
      <c r="K7">
        <f>IFERROR(INDEX(Mesarios!$P$2:$P$112,MATCH($B7&amp;"|2º Mesário",Mesarios!$F$2:$F$112,0)),"VAGO")</f>
        <v/>
      </c>
      <c r="L7">
        <f>IFERROR(INDEX(Mesarios!$D$2:$D$112,MATCH($B7&amp;"|1º Secretário",Mesarios!$F$2:$F$112,0)),"—")</f>
        <v/>
      </c>
      <c r="M7">
        <f>IFERROR(INDEX(Mesarios!$P$2:$P$112,MATCH($B7&amp;"|1º Secretário",Mesarios!$F$2:$F$112,0)),"VAGO")</f>
        <v/>
      </c>
      <c r="N7">
        <f>(G7="Confirmado")+(I7="Confirmado")+(K7="Confirmado")+(M7="Confirmado")</f>
        <v/>
      </c>
      <c r="O7">
        <f>4-N7</f>
        <v/>
      </c>
      <c r="P7">
        <f>MAX(0,E7-N7)</f>
        <v/>
      </c>
      <c r="Q7">
        <f>IF(G7&lt;&gt;"Confirmado","Sem Presidente confirmado","")&amp;IF(AND(G7&lt;&gt;"Confirmado",P7&gt;0)," · ","")&amp;IF(P7&gt;0,"Faltam "&amp;P7&amp;" para a meta","")</f>
        <v/>
      </c>
    </row>
    <row r="8">
      <c r="A8" t="n">
        <v>7</v>
      </c>
      <c r="B8" t="n">
        <v>3306</v>
      </c>
      <c r="C8">
        <f>INDEX('Por secao'!$Q$2:$Q$29,MATCH($B8,'Por secao'!$A$2:$A$29,0))</f>
        <v/>
      </c>
      <c r="D8">
        <f>INDEX('Por secao'!$W$2:$W$29,MATCH($B8,'Por secao'!$A$2:$A$29,0))</f>
        <v/>
      </c>
      <c r="E8">
        <f>IF(OR(D8="Alto",D8="Médio"),4,$C$32)</f>
        <v/>
      </c>
      <c r="F8">
        <f>IFERROR(INDEX(Mesarios!$D$2:$D$112,MATCH($B8&amp;"|Presidente",Mesarios!$F$2:$F$112,0)),"—")</f>
        <v/>
      </c>
      <c r="G8">
        <f>IFERROR(INDEX(Mesarios!$P$2:$P$112,MATCH($B8&amp;"|Presidente",Mesarios!$F$2:$F$112,0)),"VAGO")</f>
        <v/>
      </c>
      <c r="H8">
        <f>IFERROR(INDEX(Mesarios!$D$2:$D$112,MATCH($B8&amp;"|1º Mesário",Mesarios!$F$2:$F$112,0)),"—")</f>
        <v/>
      </c>
      <c r="I8">
        <f>IFERROR(INDEX(Mesarios!$P$2:$P$112,MATCH($B8&amp;"|1º Mesário",Mesarios!$F$2:$F$112,0)),"VAGO")</f>
        <v/>
      </c>
      <c r="J8">
        <f>IFERROR(INDEX(Mesarios!$D$2:$D$112,MATCH($B8&amp;"|2º Mesário",Mesarios!$F$2:$F$112,0)),"—")</f>
        <v/>
      </c>
      <c r="K8">
        <f>IFERROR(INDEX(Mesarios!$P$2:$P$112,MATCH($B8&amp;"|2º Mesário",Mesarios!$F$2:$F$112,0)),"VAGO")</f>
        <v/>
      </c>
      <c r="L8">
        <f>IFERROR(INDEX(Mesarios!$D$2:$D$112,MATCH($B8&amp;"|1º Secretário",Mesarios!$F$2:$F$112,0)),"—")</f>
        <v/>
      </c>
      <c r="M8">
        <f>IFERROR(INDEX(Mesarios!$P$2:$P$112,MATCH($B8&amp;"|1º Secretário",Mesarios!$F$2:$F$112,0)),"VAGO")</f>
        <v/>
      </c>
      <c r="N8">
        <f>(G8="Confirmado")+(I8="Confirmado")+(K8="Confirmado")+(M8="Confirmado")</f>
        <v/>
      </c>
      <c r="O8">
        <f>4-N8</f>
        <v/>
      </c>
      <c r="P8">
        <f>MAX(0,E8-N8)</f>
        <v/>
      </c>
      <c r="Q8">
        <f>IF(G8&lt;&gt;"Confirmado","Sem Presidente confirmado","")&amp;IF(AND(G8&lt;&gt;"Confirmado",P8&gt;0)," · ","")&amp;IF(P8&gt;0,"Faltam "&amp;P8&amp;" para a meta","")</f>
        <v/>
      </c>
    </row>
    <row r="9">
      <c r="A9" t="n">
        <v>8</v>
      </c>
      <c r="B9" t="n">
        <v>3161</v>
      </c>
      <c r="C9">
        <f>INDEX('Por secao'!$Q$2:$Q$29,MATCH($B9,'Por secao'!$A$2:$A$29,0))</f>
        <v/>
      </c>
      <c r="D9">
        <f>INDEX('Por secao'!$W$2:$W$29,MATCH($B9,'Por secao'!$A$2:$A$29,0))</f>
        <v/>
      </c>
      <c r="E9">
        <f>IF(OR(D9="Alto",D9="Médio"),4,$C$32)</f>
        <v/>
      </c>
      <c r="F9">
        <f>IFERROR(INDEX(Mesarios!$D$2:$D$112,MATCH($B9&amp;"|Presidente",Mesarios!$F$2:$F$112,0)),"—")</f>
        <v/>
      </c>
      <c r="G9">
        <f>IFERROR(INDEX(Mesarios!$P$2:$P$112,MATCH($B9&amp;"|Presidente",Mesarios!$F$2:$F$112,0)),"VAGO")</f>
        <v/>
      </c>
      <c r="H9">
        <f>IFERROR(INDEX(Mesarios!$D$2:$D$112,MATCH($B9&amp;"|1º Mesário",Mesarios!$F$2:$F$112,0)),"—")</f>
        <v/>
      </c>
      <c r="I9">
        <f>IFERROR(INDEX(Mesarios!$P$2:$P$112,MATCH($B9&amp;"|1º Mesário",Mesarios!$F$2:$F$112,0)),"VAGO")</f>
        <v/>
      </c>
      <c r="J9">
        <f>IFERROR(INDEX(Mesarios!$D$2:$D$112,MATCH($B9&amp;"|2º Mesário",Mesarios!$F$2:$F$112,0)),"—")</f>
        <v/>
      </c>
      <c r="K9">
        <f>IFERROR(INDEX(Mesarios!$P$2:$P$112,MATCH($B9&amp;"|2º Mesário",Mesarios!$F$2:$F$112,0)),"VAGO")</f>
        <v/>
      </c>
      <c r="L9">
        <f>IFERROR(INDEX(Mesarios!$D$2:$D$112,MATCH($B9&amp;"|1º Secretário",Mesarios!$F$2:$F$112,0)),"—")</f>
        <v/>
      </c>
      <c r="M9">
        <f>IFERROR(INDEX(Mesarios!$P$2:$P$112,MATCH($B9&amp;"|1º Secretário",Mesarios!$F$2:$F$112,0)),"VAGO")</f>
        <v/>
      </c>
      <c r="N9">
        <f>(G9="Confirmado")+(I9="Confirmado")+(K9="Confirmado")+(M9="Confirmado")</f>
        <v/>
      </c>
      <c r="O9">
        <f>4-N9</f>
        <v/>
      </c>
      <c r="P9">
        <f>MAX(0,E9-N9)</f>
        <v/>
      </c>
      <c r="Q9">
        <f>IF(G9&lt;&gt;"Confirmado","Sem Presidente confirmado","")&amp;IF(AND(G9&lt;&gt;"Confirmado",P9&gt;0)," · ","")&amp;IF(P9&gt;0,"Faltam "&amp;P9&amp;" para a meta","")</f>
        <v/>
      </c>
    </row>
    <row r="10">
      <c r="A10" t="n">
        <v>9</v>
      </c>
      <c r="B10" t="n">
        <v>3245</v>
      </c>
      <c r="C10">
        <f>INDEX('Por secao'!$Q$2:$Q$29,MATCH($B10,'Por secao'!$A$2:$A$29,0))</f>
        <v/>
      </c>
      <c r="D10">
        <f>INDEX('Por secao'!$W$2:$W$29,MATCH($B10,'Por secao'!$A$2:$A$29,0))</f>
        <v/>
      </c>
      <c r="E10">
        <f>IF(OR(D10="Alto",D10="Médio"),4,$C$32)</f>
        <v/>
      </c>
      <c r="F10">
        <f>IFERROR(INDEX(Mesarios!$D$2:$D$112,MATCH($B10&amp;"|Presidente",Mesarios!$F$2:$F$112,0)),"—")</f>
        <v/>
      </c>
      <c r="G10">
        <f>IFERROR(INDEX(Mesarios!$P$2:$P$112,MATCH($B10&amp;"|Presidente",Mesarios!$F$2:$F$112,0)),"VAGO")</f>
        <v/>
      </c>
      <c r="H10">
        <f>IFERROR(INDEX(Mesarios!$D$2:$D$112,MATCH($B10&amp;"|1º Mesário",Mesarios!$F$2:$F$112,0)),"—")</f>
        <v/>
      </c>
      <c r="I10">
        <f>IFERROR(INDEX(Mesarios!$P$2:$P$112,MATCH($B10&amp;"|1º Mesário",Mesarios!$F$2:$F$112,0)),"VAGO")</f>
        <v/>
      </c>
      <c r="J10">
        <f>IFERROR(INDEX(Mesarios!$D$2:$D$112,MATCH($B10&amp;"|2º Mesário",Mesarios!$F$2:$F$112,0)),"—")</f>
        <v/>
      </c>
      <c r="K10">
        <f>IFERROR(INDEX(Mesarios!$P$2:$P$112,MATCH($B10&amp;"|2º Mesário",Mesarios!$F$2:$F$112,0)),"VAGO")</f>
        <v/>
      </c>
      <c r="L10">
        <f>IFERROR(INDEX(Mesarios!$D$2:$D$112,MATCH($B10&amp;"|1º Secretário",Mesarios!$F$2:$F$112,0)),"—")</f>
        <v/>
      </c>
      <c r="M10">
        <f>IFERROR(INDEX(Mesarios!$P$2:$P$112,MATCH($B10&amp;"|1º Secretário",Mesarios!$F$2:$F$112,0)),"VAGO")</f>
        <v/>
      </c>
      <c r="N10">
        <f>(G10="Confirmado")+(I10="Confirmado")+(K10="Confirmado")+(M10="Confirmado")</f>
        <v/>
      </c>
      <c r="O10">
        <f>4-N10</f>
        <v/>
      </c>
      <c r="P10">
        <f>MAX(0,E10-N10)</f>
        <v/>
      </c>
      <c r="Q10">
        <f>IF(G10&lt;&gt;"Confirmado","Sem Presidente confirmado","")&amp;IF(AND(G10&lt;&gt;"Confirmado",P10&gt;0)," · ","")&amp;IF(P10&gt;0,"Faltam "&amp;P10&amp;" para a meta","")</f>
        <v/>
      </c>
    </row>
    <row r="11">
      <c r="A11" t="n">
        <v>10</v>
      </c>
      <c r="B11" t="n">
        <v>3108</v>
      </c>
      <c r="C11">
        <f>INDEX('Por secao'!$Q$2:$Q$29,MATCH($B11,'Por secao'!$A$2:$A$29,0))</f>
        <v/>
      </c>
      <c r="D11">
        <f>INDEX('Por secao'!$W$2:$W$29,MATCH($B11,'Por secao'!$A$2:$A$29,0))</f>
        <v/>
      </c>
      <c r="E11">
        <f>IF(OR(D11="Alto",D11="Médio"),4,$C$32)</f>
        <v/>
      </c>
      <c r="F11">
        <f>IFERROR(INDEX(Mesarios!$D$2:$D$112,MATCH($B11&amp;"|Presidente",Mesarios!$F$2:$F$112,0)),"—")</f>
        <v/>
      </c>
      <c r="G11">
        <f>IFERROR(INDEX(Mesarios!$P$2:$P$112,MATCH($B11&amp;"|Presidente",Mesarios!$F$2:$F$112,0)),"VAGO")</f>
        <v/>
      </c>
      <c r="H11">
        <f>IFERROR(INDEX(Mesarios!$D$2:$D$112,MATCH($B11&amp;"|1º Mesário",Mesarios!$F$2:$F$112,0)),"—")</f>
        <v/>
      </c>
      <c r="I11">
        <f>IFERROR(INDEX(Mesarios!$P$2:$P$112,MATCH($B11&amp;"|1º Mesário",Mesarios!$F$2:$F$112,0)),"VAGO")</f>
        <v/>
      </c>
      <c r="J11">
        <f>IFERROR(INDEX(Mesarios!$D$2:$D$112,MATCH($B11&amp;"|2º Mesário",Mesarios!$F$2:$F$112,0)),"—")</f>
        <v/>
      </c>
      <c r="K11">
        <f>IFERROR(INDEX(Mesarios!$P$2:$P$112,MATCH($B11&amp;"|2º Mesário",Mesarios!$F$2:$F$112,0)),"VAGO")</f>
        <v/>
      </c>
      <c r="L11">
        <f>IFERROR(INDEX(Mesarios!$D$2:$D$112,MATCH($B11&amp;"|1º Secretário",Mesarios!$F$2:$F$112,0)),"—")</f>
        <v/>
      </c>
      <c r="M11">
        <f>IFERROR(INDEX(Mesarios!$P$2:$P$112,MATCH($B11&amp;"|1º Secretário",Mesarios!$F$2:$F$112,0)),"VAGO")</f>
        <v/>
      </c>
      <c r="N11">
        <f>(G11="Confirmado")+(I11="Confirmado")+(K11="Confirmado")+(M11="Confirmado")</f>
        <v/>
      </c>
      <c r="O11">
        <f>4-N11</f>
        <v/>
      </c>
      <c r="P11">
        <f>MAX(0,E11-N11)</f>
        <v/>
      </c>
      <c r="Q11">
        <f>IF(G11&lt;&gt;"Confirmado","Sem Presidente confirmado","")&amp;IF(AND(G11&lt;&gt;"Confirmado",P11&gt;0)," · ","")&amp;IF(P11&gt;0,"Faltam "&amp;P11&amp;" para a meta","")</f>
        <v/>
      </c>
    </row>
    <row r="12">
      <c r="A12" t="n">
        <v>11</v>
      </c>
      <c r="B12" t="n">
        <v>3142</v>
      </c>
      <c r="C12">
        <f>INDEX('Por secao'!$Q$2:$Q$29,MATCH($B12,'Por secao'!$A$2:$A$29,0))</f>
        <v/>
      </c>
      <c r="D12">
        <f>INDEX('Por secao'!$W$2:$W$29,MATCH($B12,'Por secao'!$A$2:$A$29,0))</f>
        <v/>
      </c>
      <c r="E12">
        <f>IF(OR(D12="Alto",D12="Médio"),4,$C$32)</f>
        <v/>
      </c>
      <c r="F12">
        <f>IFERROR(INDEX(Mesarios!$D$2:$D$112,MATCH($B12&amp;"|Presidente",Mesarios!$F$2:$F$112,0)),"—")</f>
        <v/>
      </c>
      <c r="G12">
        <f>IFERROR(INDEX(Mesarios!$P$2:$P$112,MATCH($B12&amp;"|Presidente",Mesarios!$F$2:$F$112,0)),"VAGO")</f>
        <v/>
      </c>
      <c r="H12">
        <f>IFERROR(INDEX(Mesarios!$D$2:$D$112,MATCH($B12&amp;"|1º Mesário",Mesarios!$F$2:$F$112,0)),"—")</f>
        <v/>
      </c>
      <c r="I12">
        <f>IFERROR(INDEX(Mesarios!$P$2:$P$112,MATCH($B12&amp;"|1º Mesário",Mesarios!$F$2:$F$112,0)),"VAGO")</f>
        <v/>
      </c>
      <c r="J12">
        <f>IFERROR(INDEX(Mesarios!$D$2:$D$112,MATCH($B12&amp;"|2º Mesário",Mesarios!$F$2:$F$112,0)),"—")</f>
        <v/>
      </c>
      <c r="K12">
        <f>IFERROR(INDEX(Mesarios!$P$2:$P$112,MATCH($B12&amp;"|2º Mesário",Mesarios!$F$2:$F$112,0)),"VAGO")</f>
        <v/>
      </c>
      <c r="L12">
        <f>IFERROR(INDEX(Mesarios!$D$2:$D$112,MATCH($B12&amp;"|1º Secretário",Mesarios!$F$2:$F$112,0)),"—")</f>
        <v/>
      </c>
      <c r="M12">
        <f>IFERROR(INDEX(Mesarios!$P$2:$P$112,MATCH($B12&amp;"|1º Secretário",Mesarios!$F$2:$F$112,0)),"VAGO")</f>
        <v/>
      </c>
      <c r="N12">
        <f>(G12="Confirmado")+(I12="Confirmado")+(K12="Confirmado")+(M12="Confirmado")</f>
        <v/>
      </c>
      <c r="O12">
        <f>4-N12</f>
        <v/>
      </c>
      <c r="P12">
        <f>MAX(0,E12-N12)</f>
        <v/>
      </c>
      <c r="Q12">
        <f>IF(G12&lt;&gt;"Confirmado","Sem Presidente confirmado","")&amp;IF(AND(G12&lt;&gt;"Confirmado",P12&gt;0)," · ","")&amp;IF(P12&gt;0,"Faltam "&amp;P12&amp;" para a meta","")</f>
        <v/>
      </c>
    </row>
    <row r="13">
      <c r="A13" t="n">
        <v>12</v>
      </c>
      <c r="B13" t="n">
        <v>3229</v>
      </c>
      <c r="C13">
        <f>INDEX('Por secao'!$Q$2:$Q$29,MATCH($B13,'Por secao'!$A$2:$A$29,0))</f>
        <v/>
      </c>
      <c r="D13">
        <f>INDEX('Por secao'!$W$2:$W$29,MATCH($B13,'Por secao'!$A$2:$A$29,0))</f>
        <v/>
      </c>
      <c r="E13">
        <f>IF(OR(D13="Alto",D13="Médio"),4,$C$32)</f>
        <v/>
      </c>
      <c r="F13">
        <f>IFERROR(INDEX(Mesarios!$D$2:$D$112,MATCH($B13&amp;"|Presidente",Mesarios!$F$2:$F$112,0)),"—")</f>
        <v/>
      </c>
      <c r="G13">
        <f>IFERROR(INDEX(Mesarios!$P$2:$P$112,MATCH($B13&amp;"|Presidente",Mesarios!$F$2:$F$112,0)),"VAGO")</f>
        <v/>
      </c>
      <c r="H13">
        <f>IFERROR(INDEX(Mesarios!$D$2:$D$112,MATCH($B13&amp;"|1º Mesário",Mesarios!$F$2:$F$112,0)),"—")</f>
        <v/>
      </c>
      <c r="I13">
        <f>IFERROR(INDEX(Mesarios!$P$2:$P$112,MATCH($B13&amp;"|1º Mesário",Mesarios!$F$2:$F$112,0)),"VAGO")</f>
        <v/>
      </c>
      <c r="J13">
        <f>IFERROR(INDEX(Mesarios!$D$2:$D$112,MATCH($B13&amp;"|2º Mesário",Mesarios!$F$2:$F$112,0)),"—")</f>
        <v/>
      </c>
      <c r="K13">
        <f>IFERROR(INDEX(Mesarios!$P$2:$P$112,MATCH($B13&amp;"|2º Mesário",Mesarios!$F$2:$F$112,0)),"VAGO")</f>
        <v/>
      </c>
      <c r="L13">
        <f>IFERROR(INDEX(Mesarios!$D$2:$D$112,MATCH($B13&amp;"|1º Secretário",Mesarios!$F$2:$F$112,0)),"—")</f>
        <v/>
      </c>
      <c r="M13">
        <f>IFERROR(INDEX(Mesarios!$P$2:$P$112,MATCH($B13&amp;"|1º Secretário",Mesarios!$F$2:$F$112,0)),"VAGO")</f>
        <v/>
      </c>
      <c r="N13">
        <f>(G13="Confirmado")+(I13="Confirmado")+(K13="Confirmado")+(M13="Confirmado")</f>
        <v/>
      </c>
      <c r="O13">
        <f>4-N13</f>
        <v/>
      </c>
      <c r="P13">
        <f>MAX(0,E13-N13)</f>
        <v/>
      </c>
      <c r="Q13">
        <f>IF(G13&lt;&gt;"Confirmado","Sem Presidente confirmado","")&amp;IF(AND(G13&lt;&gt;"Confirmado",P13&gt;0)," · ","")&amp;IF(P13&gt;0,"Faltam "&amp;P13&amp;" para a meta","")</f>
        <v/>
      </c>
    </row>
    <row r="14">
      <c r="A14" t="n">
        <v>13</v>
      </c>
      <c r="B14" t="n">
        <v>3832</v>
      </c>
      <c r="C14">
        <f>INDEX('Por secao'!$Q$2:$Q$29,MATCH($B14,'Por secao'!$A$2:$A$29,0))</f>
        <v/>
      </c>
      <c r="D14">
        <f>INDEX('Por secao'!$W$2:$W$29,MATCH($B14,'Por secao'!$A$2:$A$29,0))</f>
        <v/>
      </c>
      <c r="E14">
        <f>IF(OR(D14="Alto",D14="Médio"),4,$C$32)</f>
        <v/>
      </c>
      <c r="F14">
        <f>IFERROR(INDEX(Mesarios!$D$2:$D$112,MATCH($B14&amp;"|Presidente",Mesarios!$F$2:$F$112,0)),"—")</f>
        <v/>
      </c>
      <c r="G14">
        <f>IFERROR(INDEX(Mesarios!$P$2:$P$112,MATCH($B14&amp;"|Presidente",Mesarios!$F$2:$F$112,0)),"VAGO")</f>
        <v/>
      </c>
      <c r="H14">
        <f>IFERROR(INDEX(Mesarios!$D$2:$D$112,MATCH($B14&amp;"|1º Mesário",Mesarios!$F$2:$F$112,0)),"—")</f>
        <v/>
      </c>
      <c r="I14">
        <f>IFERROR(INDEX(Mesarios!$P$2:$P$112,MATCH($B14&amp;"|1º Mesário",Mesarios!$F$2:$F$112,0)),"VAGO")</f>
        <v/>
      </c>
      <c r="J14">
        <f>IFERROR(INDEX(Mesarios!$D$2:$D$112,MATCH($B14&amp;"|2º Mesário",Mesarios!$F$2:$F$112,0)),"—")</f>
        <v/>
      </c>
      <c r="K14">
        <f>IFERROR(INDEX(Mesarios!$P$2:$P$112,MATCH($B14&amp;"|2º Mesário",Mesarios!$F$2:$F$112,0)),"VAGO")</f>
        <v/>
      </c>
      <c r="L14">
        <f>IFERROR(INDEX(Mesarios!$D$2:$D$112,MATCH($B14&amp;"|1º Secretário",Mesarios!$F$2:$F$112,0)),"—")</f>
        <v/>
      </c>
      <c r="M14">
        <f>IFERROR(INDEX(Mesarios!$P$2:$P$112,MATCH($B14&amp;"|1º Secretário",Mesarios!$F$2:$F$112,0)),"VAGO")</f>
        <v/>
      </c>
      <c r="N14">
        <f>(G14="Confirmado")+(I14="Confirmado")+(K14="Confirmado")+(M14="Confirmado")</f>
        <v/>
      </c>
      <c r="O14">
        <f>4-N14</f>
        <v/>
      </c>
      <c r="P14">
        <f>MAX(0,E14-N14)</f>
        <v/>
      </c>
      <c r="Q14">
        <f>IF(G14&lt;&gt;"Confirmado","Sem Presidente confirmado","")&amp;IF(AND(G14&lt;&gt;"Confirmado",P14&gt;0)," · ","")&amp;IF(P14&gt;0,"Faltam "&amp;P14&amp;" para a meta","")</f>
        <v/>
      </c>
    </row>
    <row r="15">
      <c r="A15" t="n">
        <v>14</v>
      </c>
      <c r="B15" t="n">
        <v>3862</v>
      </c>
      <c r="C15">
        <f>INDEX('Por secao'!$Q$2:$Q$29,MATCH($B15,'Por secao'!$A$2:$A$29,0))</f>
        <v/>
      </c>
      <c r="D15">
        <f>INDEX('Por secao'!$W$2:$W$29,MATCH($B15,'Por secao'!$A$2:$A$29,0))</f>
        <v/>
      </c>
      <c r="E15">
        <f>IF(OR(D15="Alto",D15="Médio"),4,$C$32)</f>
        <v/>
      </c>
      <c r="F15">
        <f>IFERROR(INDEX(Mesarios!$D$2:$D$112,MATCH($B15&amp;"|Presidente",Mesarios!$F$2:$F$112,0)),"—")</f>
        <v/>
      </c>
      <c r="G15">
        <f>IFERROR(INDEX(Mesarios!$P$2:$P$112,MATCH($B15&amp;"|Presidente",Mesarios!$F$2:$F$112,0)),"VAGO")</f>
        <v/>
      </c>
      <c r="H15">
        <f>IFERROR(INDEX(Mesarios!$D$2:$D$112,MATCH($B15&amp;"|1º Mesário",Mesarios!$F$2:$F$112,0)),"—")</f>
        <v/>
      </c>
      <c r="I15">
        <f>IFERROR(INDEX(Mesarios!$P$2:$P$112,MATCH($B15&amp;"|1º Mesário",Mesarios!$F$2:$F$112,0)),"VAGO")</f>
        <v/>
      </c>
      <c r="J15">
        <f>IFERROR(INDEX(Mesarios!$D$2:$D$112,MATCH($B15&amp;"|2º Mesário",Mesarios!$F$2:$F$112,0)),"—")</f>
        <v/>
      </c>
      <c r="K15">
        <f>IFERROR(INDEX(Mesarios!$P$2:$P$112,MATCH($B15&amp;"|2º Mesário",Mesarios!$F$2:$F$112,0)),"VAGO")</f>
        <v/>
      </c>
      <c r="L15">
        <f>IFERROR(INDEX(Mesarios!$D$2:$D$112,MATCH($B15&amp;"|1º Secretário",Mesarios!$F$2:$F$112,0)),"—")</f>
        <v/>
      </c>
      <c r="M15">
        <f>IFERROR(INDEX(Mesarios!$P$2:$P$112,MATCH($B15&amp;"|1º Secretário",Mesarios!$F$2:$F$112,0)),"VAGO")</f>
        <v/>
      </c>
      <c r="N15">
        <f>(G15="Confirmado")+(I15="Confirmado")+(K15="Confirmado")+(M15="Confirmado")</f>
        <v/>
      </c>
      <c r="O15">
        <f>4-N15</f>
        <v/>
      </c>
      <c r="P15">
        <f>MAX(0,E15-N15)</f>
        <v/>
      </c>
      <c r="Q15">
        <f>IF(G15&lt;&gt;"Confirmado","Sem Presidente confirmado","")&amp;IF(AND(G15&lt;&gt;"Confirmado",P15&gt;0)," · ","")&amp;IF(P15&gt;0,"Faltam "&amp;P15&amp;" para a meta","")</f>
        <v/>
      </c>
    </row>
    <row r="16">
      <c r="A16" t="n">
        <v>15</v>
      </c>
      <c r="B16" t="n">
        <v>3216</v>
      </c>
      <c r="C16">
        <f>INDEX('Por secao'!$Q$2:$Q$29,MATCH($B16,'Por secao'!$A$2:$A$29,0))</f>
        <v/>
      </c>
      <c r="D16">
        <f>INDEX('Por secao'!$W$2:$W$29,MATCH($B16,'Por secao'!$A$2:$A$29,0))</f>
        <v/>
      </c>
      <c r="E16">
        <f>IF(OR(D16="Alto",D16="Médio"),4,$C$32)</f>
        <v/>
      </c>
      <c r="F16">
        <f>IFERROR(INDEX(Mesarios!$D$2:$D$112,MATCH($B16&amp;"|Presidente",Mesarios!$F$2:$F$112,0)),"—")</f>
        <v/>
      </c>
      <c r="G16">
        <f>IFERROR(INDEX(Mesarios!$P$2:$P$112,MATCH($B16&amp;"|Presidente",Mesarios!$F$2:$F$112,0)),"VAGO")</f>
        <v/>
      </c>
      <c r="H16">
        <f>IFERROR(INDEX(Mesarios!$D$2:$D$112,MATCH($B16&amp;"|1º Mesário",Mesarios!$F$2:$F$112,0)),"—")</f>
        <v/>
      </c>
      <c r="I16">
        <f>IFERROR(INDEX(Mesarios!$P$2:$P$112,MATCH($B16&amp;"|1º Mesário",Mesarios!$F$2:$F$112,0)),"VAGO")</f>
        <v/>
      </c>
      <c r="J16">
        <f>IFERROR(INDEX(Mesarios!$D$2:$D$112,MATCH($B16&amp;"|2º Mesário",Mesarios!$F$2:$F$112,0)),"—")</f>
        <v/>
      </c>
      <c r="K16">
        <f>IFERROR(INDEX(Mesarios!$P$2:$P$112,MATCH($B16&amp;"|2º Mesário",Mesarios!$F$2:$F$112,0)),"VAGO")</f>
        <v/>
      </c>
      <c r="L16">
        <f>IFERROR(INDEX(Mesarios!$D$2:$D$112,MATCH($B16&amp;"|1º Secretário",Mesarios!$F$2:$F$112,0)),"—")</f>
        <v/>
      </c>
      <c r="M16">
        <f>IFERROR(INDEX(Mesarios!$P$2:$P$112,MATCH($B16&amp;"|1º Secretário",Mesarios!$F$2:$F$112,0)),"VAGO")</f>
        <v/>
      </c>
      <c r="N16">
        <f>(G16="Confirmado")+(I16="Confirmado")+(K16="Confirmado")+(M16="Confirmado")</f>
        <v/>
      </c>
      <c r="O16">
        <f>4-N16</f>
        <v/>
      </c>
      <c r="P16">
        <f>MAX(0,E16-N16)</f>
        <v/>
      </c>
      <c r="Q16">
        <f>IF(G16&lt;&gt;"Confirmado","Sem Presidente confirmado","")&amp;IF(AND(G16&lt;&gt;"Confirmado",P16&gt;0)," · ","")&amp;IF(P16&gt;0,"Faltam "&amp;P16&amp;" para a meta","")</f>
        <v/>
      </c>
    </row>
    <row r="17">
      <c r="A17" t="n">
        <v>16</v>
      </c>
      <c r="B17" t="n">
        <v>3309</v>
      </c>
      <c r="C17">
        <f>INDEX('Por secao'!$Q$2:$Q$29,MATCH($B17,'Por secao'!$A$2:$A$29,0))</f>
        <v/>
      </c>
      <c r="D17">
        <f>INDEX('Por secao'!$W$2:$W$29,MATCH($B17,'Por secao'!$A$2:$A$29,0))</f>
        <v/>
      </c>
      <c r="E17">
        <f>IF(OR(D17="Alto",D17="Médio"),4,$C$32)</f>
        <v/>
      </c>
      <c r="F17">
        <f>IFERROR(INDEX(Mesarios!$D$2:$D$112,MATCH($B17&amp;"|Presidente",Mesarios!$F$2:$F$112,0)),"—")</f>
        <v/>
      </c>
      <c r="G17">
        <f>IFERROR(INDEX(Mesarios!$P$2:$P$112,MATCH($B17&amp;"|Presidente",Mesarios!$F$2:$F$112,0)),"VAGO")</f>
        <v/>
      </c>
      <c r="H17">
        <f>IFERROR(INDEX(Mesarios!$D$2:$D$112,MATCH($B17&amp;"|1º Mesário",Mesarios!$F$2:$F$112,0)),"—")</f>
        <v/>
      </c>
      <c r="I17">
        <f>IFERROR(INDEX(Mesarios!$P$2:$P$112,MATCH($B17&amp;"|1º Mesário",Mesarios!$F$2:$F$112,0)),"VAGO")</f>
        <v/>
      </c>
      <c r="J17">
        <f>IFERROR(INDEX(Mesarios!$D$2:$D$112,MATCH($B17&amp;"|2º Mesário",Mesarios!$F$2:$F$112,0)),"—")</f>
        <v/>
      </c>
      <c r="K17">
        <f>IFERROR(INDEX(Mesarios!$P$2:$P$112,MATCH($B17&amp;"|2º Mesário",Mesarios!$F$2:$F$112,0)),"VAGO")</f>
        <v/>
      </c>
      <c r="L17">
        <f>IFERROR(INDEX(Mesarios!$D$2:$D$112,MATCH($B17&amp;"|1º Secretário",Mesarios!$F$2:$F$112,0)),"—")</f>
        <v/>
      </c>
      <c r="M17">
        <f>IFERROR(INDEX(Mesarios!$P$2:$P$112,MATCH($B17&amp;"|1º Secretário",Mesarios!$F$2:$F$112,0)),"VAGO")</f>
        <v/>
      </c>
      <c r="N17">
        <f>(G17="Confirmado")+(I17="Confirmado")+(K17="Confirmado")+(M17="Confirmado")</f>
        <v/>
      </c>
      <c r="O17">
        <f>4-N17</f>
        <v/>
      </c>
      <c r="P17">
        <f>MAX(0,E17-N17)</f>
        <v/>
      </c>
      <c r="Q17">
        <f>IF(G17&lt;&gt;"Confirmado","Sem Presidente confirmado","")&amp;IF(AND(G17&lt;&gt;"Confirmado",P17&gt;0)," · ","")&amp;IF(P17&gt;0,"Faltam "&amp;P17&amp;" para a meta","")</f>
        <v/>
      </c>
    </row>
    <row r="18">
      <c r="A18" t="n">
        <v>17</v>
      </c>
      <c r="B18" t="n">
        <v>3305</v>
      </c>
      <c r="C18">
        <f>INDEX('Por secao'!$Q$2:$Q$29,MATCH($B18,'Por secao'!$A$2:$A$29,0))</f>
        <v/>
      </c>
      <c r="D18">
        <f>INDEX('Por secao'!$W$2:$W$29,MATCH($B18,'Por secao'!$A$2:$A$29,0))</f>
        <v/>
      </c>
      <c r="E18">
        <f>IF(OR(D18="Alto",D18="Médio"),4,$C$32)</f>
        <v/>
      </c>
      <c r="F18">
        <f>IFERROR(INDEX(Mesarios!$D$2:$D$112,MATCH($B18&amp;"|Presidente",Mesarios!$F$2:$F$112,0)),"—")</f>
        <v/>
      </c>
      <c r="G18">
        <f>IFERROR(INDEX(Mesarios!$P$2:$P$112,MATCH($B18&amp;"|Presidente",Mesarios!$F$2:$F$112,0)),"VAGO")</f>
        <v/>
      </c>
      <c r="H18">
        <f>IFERROR(INDEX(Mesarios!$D$2:$D$112,MATCH($B18&amp;"|1º Mesário",Mesarios!$F$2:$F$112,0)),"—")</f>
        <v/>
      </c>
      <c r="I18">
        <f>IFERROR(INDEX(Mesarios!$P$2:$P$112,MATCH($B18&amp;"|1º Mesário",Mesarios!$F$2:$F$112,0)),"VAGO")</f>
        <v/>
      </c>
      <c r="J18">
        <f>IFERROR(INDEX(Mesarios!$D$2:$D$112,MATCH($B18&amp;"|2º Mesário",Mesarios!$F$2:$F$112,0)),"—")</f>
        <v/>
      </c>
      <c r="K18">
        <f>IFERROR(INDEX(Mesarios!$P$2:$P$112,MATCH($B18&amp;"|2º Mesário",Mesarios!$F$2:$F$112,0)),"VAGO")</f>
        <v/>
      </c>
      <c r="L18">
        <f>IFERROR(INDEX(Mesarios!$D$2:$D$112,MATCH($B18&amp;"|1º Secretário",Mesarios!$F$2:$F$112,0)),"—")</f>
        <v/>
      </c>
      <c r="M18">
        <f>IFERROR(INDEX(Mesarios!$P$2:$P$112,MATCH($B18&amp;"|1º Secretário",Mesarios!$F$2:$F$112,0)),"VAGO")</f>
        <v/>
      </c>
      <c r="N18">
        <f>(G18="Confirmado")+(I18="Confirmado")+(K18="Confirmado")+(M18="Confirmado")</f>
        <v/>
      </c>
      <c r="O18">
        <f>4-N18</f>
        <v/>
      </c>
      <c r="P18">
        <f>MAX(0,E18-N18)</f>
        <v/>
      </c>
      <c r="Q18">
        <f>IF(G18&lt;&gt;"Confirmado","Sem Presidente confirmado","")&amp;IF(AND(G18&lt;&gt;"Confirmado",P18&gt;0)," · ","")&amp;IF(P18&gt;0,"Faltam "&amp;P18&amp;" para a meta","")</f>
        <v/>
      </c>
    </row>
    <row r="19">
      <c r="A19" t="n">
        <v>18</v>
      </c>
      <c r="B19" t="n">
        <v>3688</v>
      </c>
      <c r="C19">
        <f>INDEX('Por secao'!$Q$2:$Q$29,MATCH($B19,'Por secao'!$A$2:$A$29,0))</f>
        <v/>
      </c>
      <c r="D19">
        <f>INDEX('Por secao'!$W$2:$W$29,MATCH($B19,'Por secao'!$A$2:$A$29,0))</f>
        <v/>
      </c>
      <c r="E19">
        <f>IF(OR(D19="Alto",D19="Médio"),4,$C$32)</f>
        <v/>
      </c>
      <c r="F19">
        <f>IFERROR(INDEX(Mesarios!$D$2:$D$112,MATCH($B19&amp;"|Presidente",Mesarios!$F$2:$F$112,0)),"—")</f>
        <v/>
      </c>
      <c r="G19">
        <f>IFERROR(INDEX(Mesarios!$P$2:$P$112,MATCH($B19&amp;"|Presidente",Mesarios!$F$2:$F$112,0)),"VAGO")</f>
        <v/>
      </c>
      <c r="H19">
        <f>IFERROR(INDEX(Mesarios!$D$2:$D$112,MATCH($B19&amp;"|1º Mesário",Mesarios!$F$2:$F$112,0)),"—")</f>
        <v/>
      </c>
      <c r="I19">
        <f>IFERROR(INDEX(Mesarios!$P$2:$P$112,MATCH($B19&amp;"|1º Mesário",Mesarios!$F$2:$F$112,0)),"VAGO")</f>
        <v/>
      </c>
      <c r="J19">
        <f>IFERROR(INDEX(Mesarios!$D$2:$D$112,MATCH($B19&amp;"|2º Mesário",Mesarios!$F$2:$F$112,0)),"—")</f>
        <v/>
      </c>
      <c r="K19">
        <f>IFERROR(INDEX(Mesarios!$P$2:$P$112,MATCH($B19&amp;"|2º Mesário",Mesarios!$F$2:$F$112,0)),"VAGO")</f>
        <v/>
      </c>
      <c r="L19">
        <f>IFERROR(INDEX(Mesarios!$D$2:$D$112,MATCH($B19&amp;"|1º Secretário",Mesarios!$F$2:$F$112,0)),"—")</f>
        <v/>
      </c>
      <c r="M19">
        <f>IFERROR(INDEX(Mesarios!$P$2:$P$112,MATCH($B19&amp;"|1º Secretário",Mesarios!$F$2:$F$112,0)),"VAGO")</f>
        <v/>
      </c>
      <c r="N19">
        <f>(G19="Confirmado")+(I19="Confirmado")+(K19="Confirmado")+(M19="Confirmado")</f>
        <v/>
      </c>
      <c r="O19">
        <f>4-N19</f>
        <v/>
      </c>
      <c r="P19">
        <f>MAX(0,E19-N19)</f>
        <v/>
      </c>
      <c r="Q19">
        <f>IF(G19&lt;&gt;"Confirmado","Sem Presidente confirmado","")&amp;IF(AND(G19&lt;&gt;"Confirmado",P19&gt;0)," · ","")&amp;IF(P19&gt;0,"Faltam "&amp;P19&amp;" para a meta","")</f>
        <v/>
      </c>
    </row>
    <row r="20">
      <c r="A20" t="n">
        <v>19</v>
      </c>
      <c r="B20" t="n">
        <v>3078</v>
      </c>
      <c r="C20">
        <f>INDEX('Por secao'!$Q$2:$Q$29,MATCH($B20,'Por secao'!$A$2:$A$29,0))</f>
        <v/>
      </c>
      <c r="D20">
        <f>INDEX('Por secao'!$W$2:$W$29,MATCH($B20,'Por secao'!$A$2:$A$29,0))</f>
        <v/>
      </c>
      <c r="E20">
        <f>IF(OR(D20="Alto",D20="Médio"),4,$C$32)</f>
        <v/>
      </c>
      <c r="F20">
        <f>IFERROR(INDEX(Mesarios!$D$2:$D$112,MATCH($B20&amp;"|Presidente",Mesarios!$F$2:$F$112,0)),"—")</f>
        <v/>
      </c>
      <c r="G20">
        <f>IFERROR(INDEX(Mesarios!$P$2:$P$112,MATCH($B20&amp;"|Presidente",Mesarios!$F$2:$F$112,0)),"VAGO")</f>
        <v/>
      </c>
      <c r="H20">
        <f>IFERROR(INDEX(Mesarios!$D$2:$D$112,MATCH($B20&amp;"|1º Mesário",Mesarios!$F$2:$F$112,0)),"—")</f>
        <v/>
      </c>
      <c r="I20">
        <f>IFERROR(INDEX(Mesarios!$P$2:$P$112,MATCH($B20&amp;"|1º Mesário",Mesarios!$F$2:$F$112,0)),"VAGO")</f>
        <v/>
      </c>
      <c r="J20">
        <f>IFERROR(INDEX(Mesarios!$D$2:$D$112,MATCH($B20&amp;"|2º Mesário",Mesarios!$F$2:$F$112,0)),"—")</f>
        <v/>
      </c>
      <c r="K20">
        <f>IFERROR(INDEX(Mesarios!$P$2:$P$112,MATCH($B20&amp;"|2º Mesário",Mesarios!$F$2:$F$112,0)),"VAGO")</f>
        <v/>
      </c>
      <c r="L20">
        <f>IFERROR(INDEX(Mesarios!$D$2:$D$112,MATCH($B20&amp;"|1º Secretário",Mesarios!$F$2:$F$112,0)),"—")</f>
        <v/>
      </c>
      <c r="M20">
        <f>IFERROR(INDEX(Mesarios!$P$2:$P$112,MATCH($B20&amp;"|1º Secretário",Mesarios!$F$2:$F$112,0)),"VAGO")</f>
        <v/>
      </c>
      <c r="N20">
        <f>(G20="Confirmado")+(I20="Confirmado")+(K20="Confirmado")+(M20="Confirmado")</f>
        <v/>
      </c>
      <c r="O20">
        <f>4-N20</f>
        <v/>
      </c>
      <c r="P20">
        <f>MAX(0,E20-N20)</f>
        <v/>
      </c>
      <c r="Q20">
        <f>IF(G20&lt;&gt;"Confirmado","Sem Presidente confirmado","")&amp;IF(AND(G20&lt;&gt;"Confirmado",P20&gt;0)," · ","")&amp;IF(P20&gt;0,"Faltam "&amp;P20&amp;" para a meta","")</f>
        <v/>
      </c>
    </row>
    <row r="21">
      <c r="A21" t="n">
        <v>20</v>
      </c>
      <c r="B21" t="n">
        <v>3054</v>
      </c>
      <c r="C21">
        <f>INDEX('Por secao'!$Q$2:$Q$29,MATCH($B21,'Por secao'!$A$2:$A$29,0))</f>
        <v/>
      </c>
      <c r="D21">
        <f>INDEX('Por secao'!$W$2:$W$29,MATCH($B21,'Por secao'!$A$2:$A$29,0))</f>
        <v/>
      </c>
      <c r="E21">
        <f>IF(OR(D21="Alto",D21="Médio"),4,$C$32)</f>
        <v/>
      </c>
      <c r="F21">
        <f>IFERROR(INDEX(Mesarios!$D$2:$D$112,MATCH($B21&amp;"|Presidente",Mesarios!$F$2:$F$112,0)),"—")</f>
        <v/>
      </c>
      <c r="G21">
        <f>IFERROR(INDEX(Mesarios!$P$2:$P$112,MATCH($B21&amp;"|Presidente",Mesarios!$F$2:$F$112,0)),"VAGO")</f>
        <v/>
      </c>
      <c r="H21">
        <f>IFERROR(INDEX(Mesarios!$D$2:$D$112,MATCH($B21&amp;"|1º Mesário",Mesarios!$F$2:$F$112,0)),"—")</f>
        <v/>
      </c>
      <c r="I21">
        <f>IFERROR(INDEX(Mesarios!$P$2:$P$112,MATCH($B21&amp;"|1º Mesário",Mesarios!$F$2:$F$112,0)),"VAGO")</f>
        <v/>
      </c>
      <c r="J21">
        <f>IFERROR(INDEX(Mesarios!$D$2:$D$112,MATCH($B21&amp;"|2º Mesário",Mesarios!$F$2:$F$112,0)),"—")</f>
        <v/>
      </c>
      <c r="K21">
        <f>IFERROR(INDEX(Mesarios!$P$2:$P$112,MATCH($B21&amp;"|2º Mesário",Mesarios!$F$2:$F$112,0)),"VAGO")</f>
        <v/>
      </c>
      <c r="L21">
        <f>IFERROR(INDEX(Mesarios!$D$2:$D$112,MATCH($B21&amp;"|1º Secretário",Mesarios!$F$2:$F$112,0)),"—")</f>
        <v/>
      </c>
      <c r="M21">
        <f>IFERROR(INDEX(Mesarios!$P$2:$P$112,MATCH($B21&amp;"|1º Secretário",Mesarios!$F$2:$F$112,0)),"VAGO")</f>
        <v/>
      </c>
      <c r="N21">
        <f>(G21="Confirmado")+(I21="Confirmado")+(K21="Confirmado")+(M21="Confirmado")</f>
        <v/>
      </c>
      <c r="O21">
        <f>4-N21</f>
        <v/>
      </c>
      <c r="P21">
        <f>MAX(0,E21-N21)</f>
        <v/>
      </c>
      <c r="Q21">
        <f>IF(G21&lt;&gt;"Confirmado","Sem Presidente confirmado","")&amp;IF(AND(G21&lt;&gt;"Confirmado",P21&gt;0)," · ","")&amp;IF(P21&gt;0,"Faltam "&amp;P21&amp;" para a meta","")</f>
        <v/>
      </c>
    </row>
    <row r="22">
      <c r="A22" t="n">
        <v>21</v>
      </c>
      <c r="B22" t="n">
        <v>1160</v>
      </c>
      <c r="C22">
        <f>INDEX('Por secao'!$Q$2:$Q$29,MATCH($B22,'Por secao'!$A$2:$A$29,0))</f>
        <v/>
      </c>
      <c r="D22">
        <f>INDEX('Por secao'!$W$2:$W$29,MATCH($B22,'Por secao'!$A$2:$A$29,0))</f>
        <v/>
      </c>
      <c r="E22">
        <f>IF(OR(D22="Alto",D22="Médio"),4,$C$32)</f>
        <v/>
      </c>
      <c r="F22">
        <f>IFERROR(INDEX(Mesarios!$D$2:$D$112,MATCH($B22&amp;"|Presidente",Mesarios!$F$2:$F$112,0)),"—")</f>
        <v/>
      </c>
      <c r="G22">
        <f>IFERROR(INDEX(Mesarios!$P$2:$P$112,MATCH($B22&amp;"|Presidente",Mesarios!$F$2:$F$112,0)),"VAGO")</f>
        <v/>
      </c>
      <c r="H22">
        <f>IFERROR(INDEX(Mesarios!$D$2:$D$112,MATCH($B22&amp;"|1º Mesário",Mesarios!$F$2:$F$112,0)),"—")</f>
        <v/>
      </c>
      <c r="I22">
        <f>IFERROR(INDEX(Mesarios!$P$2:$P$112,MATCH($B22&amp;"|1º Mesário",Mesarios!$F$2:$F$112,0)),"VAGO")</f>
        <v/>
      </c>
      <c r="J22">
        <f>IFERROR(INDEX(Mesarios!$D$2:$D$112,MATCH($B22&amp;"|2º Mesário",Mesarios!$F$2:$F$112,0)),"—")</f>
        <v/>
      </c>
      <c r="K22">
        <f>IFERROR(INDEX(Mesarios!$P$2:$P$112,MATCH($B22&amp;"|2º Mesário",Mesarios!$F$2:$F$112,0)),"VAGO")</f>
        <v/>
      </c>
      <c r="L22">
        <f>IFERROR(INDEX(Mesarios!$D$2:$D$112,MATCH($B22&amp;"|1º Secretário",Mesarios!$F$2:$F$112,0)),"—")</f>
        <v/>
      </c>
      <c r="M22">
        <f>IFERROR(INDEX(Mesarios!$P$2:$P$112,MATCH($B22&amp;"|1º Secretário",Mesarios!$F$2:$F$112,0)),"VAGO")</f>
        <v/>
      </c>
      <c r="N22">
        <f>(G22="Confirmado")+(I22="Confirmado")+(K22="Confirmado")+(M22="Confirmado")</f>
        <v/>
      </c>
      <c r="O22">
        <f>4-N22</f>
        <v/>
      </c>
      <c r="P22">
        <f>MAX(0,E22-N22)</f>
        <v/>
      </c>
      <c r="Q22">
        <f>IF(G22&lt;&gt;"Confirmado","Sem Presidente confirmado","")&amp;IF(AND(G22&lt;&gt;"Confirmado",P22&gt;0)," · ","")&amp;IF(P22&gt;0,"Faltam "&amp;P22&amp;" para a meta","")</f>
        <v/>
      </c>
    </row>
    <row r="23">
      <c r="A23" t="n">
        <v>22</v>
      </c>
      <c r="B23" t="n">
        <v>511</v>
      </c>
      <c r="C23">
        <f>INDEX('Por secao'!$Q$2:$Q$29,MATCH($B23,'Por secao'!$A$2:$A$29,0))</f>
        <v/>
      </c>
      <c r="D23">
        <f>INDEX('Por secao'!$W$2:$W$29,MATCH($B23,'Por secao'!$A$2:$A$29,0))</f>
        <v/>
      </c>
      <c r="E23">
        <f>IF(OR(D23="Alto",D23="Médio"),4,$C$32)</f>
        <v/>
      </c>
      <c r="F23">
        <f>IFERROR(INDEX(Mesarios!$D$2:$D$112,MATCH($B23&amp;"|Presidente",Mesarios!$F$2:$F$112,0)),"—")</f>
        <v/>
      </c>
      <c r="G23">
        <f>IFERROR(INDEX(Mesarios!$P$2:$P$112,MATCH($B23&amp;"|Presidente",Mesarios!$F$2:$F$112,0)),"VAGO")</f>
        <v/>
      </c>
      <c r="H23">
        <f>IFERROR(INDEX(Mesarios!$D$2:$D$112,MATCH($B23&amp;"|1º Mesário",Mesarios!$F$2:$F$112,0)),"—")</f>
        <v/>
      </c>
      <c r="I23">
        <f>IFERROR(INDEX(Mesarios!$P$2:$P$112,MATCH($B23&amp;"|1º Mesário",Mesarios!$F$2:$F$112,0)),"VAGO")</f>
        <v/>
      </c>
      <c r="J23">
        <f>IFERROR(INDEX(Mesarios!$D$2:$D$112,MATCH($B23&amp;"|2º Mesário",Mesarios!$F$2:$F$112,0)),"—")</f>
        <v/>
      </c>
      <c r="K23">
        <f>IFERROR(INDEX(Mesarios!$P$2:$P$112,MATCH($B23&amp;"|2º Mesário",Mesarios!$F$2:$F$112,0)),"VAGO")</f>
        <v/>
      </c>
      <c r="L23">
        <f>IFERROR(INDEX(Mesarios!$D$2:$D$112,MATCH($B23&amp;"|1º Secretário",Mesarios!$F$2:$F$112,0)),"—")</f>
        <v/>
      </c>
      <c r="M23">
        <f>IFERROR(INDEX(Mesarios!$P$2:$P$112,MATCH($B23&amp;"|1º Secretário",Mesarios!$F$2:$F$112,0)),"VAGO")</f>
        <v/>
      </c>
      <c r="N23">
        <f>(G23="Confirmado")+(I23="Confirmado")+(K23="Confirmado")+(M23="Confirmado")</f>
        <v/>
      </c>
      <c r="O23">
        <f>4-N23</f>
        <v/>
      </c>
      <c r="P23">
        <f>MAX(0,E23-N23)</f>
        <v/>
      </c>
      <c r="Q23">
        <f>IF(G23&lt;&gt;"Confirmado","Sem Presidente confirmado","")&amp;IF(AND(G23&lt;&gt;"Confirmado",P23&gt;0)," · ","")&amp;IF(P23&gt;0,"Faltam "&amp;P23&amp;" para a meta","")</f>
        <v/>
      </c>
    </row>
    <row r="24">
      <c r="A24" t="n">
        <v>23</v>
      </c>
      <c r="B24" t="n">
        <v>517</v>
      </c>
      <c r="C24">
        <f>INDEX('Por secao'!$Q$2:$Q$29,MATCH($B24,'Por secao'!$A$2:$A$29,0))</f>
        <v/>
      </c>
      <c r="D24">
        <f>INDEX('Por secao'!$W$2:$W$29,MATCH($B24,'Por secao'!$A$2:$A$29,0))</f>
        <v/>
      </c>
      <c r="E24">
        <f>IF(OR(D24="Alto",D24="Médio"),4,$C$32)</f>
        <v/>
      </c>
      <c r="F24">
        <f>IFERROR(INDEX(Mesarios!$D$2:$D$112,MATCH($B24&amp;"|Presidente",Mesarios!$F$2:$F$112,0)),"—")</f>
        <v/>
      </c>
      <c r="G24">
        <f>IFERROR(INDEX(Mesarios!$P$2:$P$112,MATCH($B24&amp;"|Presidente",Mesarios!$F$2:$F$112,0)),"VAGO")</f>
        <v/>
      </c>
      <c r="H24">
        <f>IFERROR(INDEX(Mesarios!$D$2:$D$112,MATCH($B24&amp;"|1º Mesário",Mesarios!$F$2:$F$112,0)),"—")</f>
        <v/>
      </c>
      <c r="I24">
        <f>IFERROR(INDEX(Mesarios!$P$2:$P$112,MATCH($B24&amp;"|1º Mesário",Mesarios!$F$2:$F$112,0)),"VAGO")</f>
        <v/>
      </c>
      <c r="J24">
        <f>IFERROR(INDEX(Mesarios!$D$2:$D$112,MATCH($B24&amp;"|2º Mesário",Mesarios!$F$2:$F$112,0)),"—")</f>
        <v/>
      </c>
      <c r="K24">
        <f>IFERROR(INDEX(Mesarios!$P$2:$P$112,MATCH($B24&amp;"|2º Mesário",Mesarios!$F$2:$F$112,0)),"VAGO")</f>
        <v/>
      </c>
      <c r="L24">
        <f>IFERROR(INDEX(Mesarios!$D$2:$D$112,MATCH($B24&amp;"|1º Secretário",Mesarios!$F$2:$F$112,0)),"—")</f>
        <v/>
      </c>
      <c r="M24">
        <f>IFERROR(INDEX(Mesarios!$P$2:$P$112,MATCH($B24&amp;"|1º Secretário",Mesarios!$F$2:$F$112,0)),"VAGO")</f>
        <v/>
      </c>
      <c r="N24">
        <f>(G24="Confirmado")+(I24="Confirmado")+(K24="Confirmado")+(M24="Confirmado")</f>
        <v/>
      </c>
      <c r="O24">
        <f>4-N24</f>
        <v/>
      </c>
      <c r="P24">
        <f>MAX(0,E24-N24)</f>
        <v/>
      </c>
      <c r="Q24">
        <f>IF(G24&lt;&gt;"Confirmado","Sem Presidente confirmado","")&amp;IF(AND(G24&lt;&gt;"Confirmado",P24&gt;0)," · ","")&amp;IF(P24&gt;0,"Faltam "&amp;P24&amp;" para a meta","")</f>
        <v/>
      </c>
    </row>
    <row r="25">
      <c r="A25" t="n">
        <v>24</v>
      </c>
      <c r="B25" t="n">
        <v>512</v>
      </c>
      <c r="C25">
        <f>INDEX('Por secao'!$Q$2:$Q$29,MATCH($B25,'Por secao'!$A$2:$A$29,0))</f>
        <v/>
      </c>
      <c r="D25">
        <f>INDEX('Por secao'!$W$2:$W$29,MATCH($B25,'Por secao'!$A$2:$A$29,0))</f>
        <v/>
      </c>
      <c r="E25">
        <f>IF(OR(D25="Alto",D25="Médio"),4,$C$32)</f>
        <v/>
      </c>
      <c r="F25">
        <f>IFERROR(INDEX(Mesarios!$D$2:$D$112,MATCH($B25&amp;"|Presidente",Mesarios!$F$2:$F$112,0)),"—")</f>
        <v/>
      </c>
      <c r="G25">
        <f>IFERROR(INDEX(Mesarios!$P$2:$P$112,MATCH($B25&amp;"|Presidente",Mesarios!$F$2:$F$112,0)),"VAGO")</f>
        <v/>
      </c>
      <c r="H25">
        <f>IFERROR(INDEX(Mesarios!$D$2:$D$112,MATCH($B25&amp;"|1º Mesário",Mesarios!$F$2:$F$112,0)),"—")</f>
        <v/>
      </c>
      <c r="I25">
        <f>IFERROR(INDEX(Mesarios!$P$2:$P$112,MATCH($B25&amp;"|1º Mesário",Mesarios!$F$2:$F$112,0)),"VAGO")</f>
        <v/>
      </c>
      <c r="J25">
        <f>IFERROR(INDEX(Mesarios!$D$2:$D$112,MATCH($B25&amp;"|2º Mesário",Mesarios!$F$2:$F$112,0)),"—")</f>
        <v/>
      </c>
      <c r="K25">
        <f>IFERROR(INDEX(Mesarios!$P$2:$P$112,MATCH($B25&amp;"|2º Mesário",Mesarios!$F$2:$F$112,0)),"VAGO")</f>
        <v/>
      </c>
      <c r="L25">
        <f>IFERROR(INDEX(Mesarios!$D$2:$D$112,MATCH($B25&amp;"|1º Secretário",Mesarios!$F$2:$F$112,0)),"—")</f>
        <v/>
      </c>
      <c r="M25">
        <f>IFERROR(INDEX(Mesarios!$P$2:$P$112,MATCH($B25&amp;"|1º Secretário",Mesarios!$F$2:$F$112,0)),"VAGO")</f>
        <v/>
      </c>
      <c r="N25">
        <f>(G25="Confirmado")+(I25="Confirmado")+(K25="Confirmado")+(M25="Confirmado")</f>
        <v/>
      </c>
      <c r="O25">
        <f>4-N25</f>
        <v/>
      </c>
      <c r="P25">
        <f>MAX(0,E25-N25)</f>
        <v/>
      </c>
      <c r="Q25">
        <f>IF(G25&lt;&gt;"Confirmado","Sem Presidente confirmado","")&amp;IF(AND(G25&lt;&gt;"Confirmado",P25&gt;0)," · ","")&amp;IF(P25&gt;0,"Faltam "&amp;P25&amp;" para a meta","")</f>
        <v/>
      </c>
    </row>
    <row r="26">
      <c r="A26" t="n">
        <v>25</v>
      </c>
      <c r="B26" t="n">
        <v>3308</v>
      </c>
      <c r="C26">
        <f>INDEX('Por secao'!$Q$2:$Q$29,MATCH($B26,'Por secao'!$A$2:$A$29,0))</f>
        <v/>
      </c>
      <c r="D26">
        <f>INDEX('Por secao'!$W$2:$W$29,MATCH($B26,'Por secao'!$A$2:$A$29,0))</f>
        <v/>
      </c>
      <c r="E26">
        <f>IF(OR(D26="Alto",D26="Médio"),4,$C$32)</f>
        <v/>
      </c>
      <c r="F26">
        <f>IFERROR(INDEX(Mesarios!$D$2:$D$112,MATCH($B26&amp;"|Presidente",Mesarios!$F$2:$F$112,0)),"—")</f>
        <v/>
      </c>
      <c r="G26">
        <f>IFERROR(INDEX(Mesarios!$P$2:$P$112,MATCH($B26&amp;"|Presidente",Mesarios!$F$2:$F$112,0)),"VAGO")</f>
        <v/>
      </c>
      <c r="H26">
        <f>IFERROR(INDEX(Mesarios!$D$2:$D$112,MATCH($B26&amp;"|1º Mesário",Mesarios!$F$2:$F$112,0)),"—")</f>
        <v/>
      </c>
      <c r="I26">
        <f>IFERROR(INDEX(Mesarios!$P$2:$P$112,MATCH($B26&amp;"|1º Mesário",Mesarios!$F$2:$F$112,0)),"VAGO")</f>
        <v/>
      </c>
      <c r="J26">
        <f>IFERROR(INDEX(Mesarios!$D$2:$D$112,MATCH($B26&amp;"|2º Mesário",Mesarios!$F$2:$F$112,0)),"—")</f>
        <v/>
      </c>
      <c r="K26">
        <f>IFERROR(INDEX(Mesarios!$P$2:$P$112,MATCH($B26&amp;"|2º Mesário",Mesarios!$F$2:$F$112,0)),"VAGO")</f>
        <v/>
      </c>
      <c r="L26">
        <f>IFERROR(INDEX(Mesarios!$D$2:$D$112,MATCH($B26&amp;"|1º Secretário",Mesarios!$F$2:$F$112,0)),"—")</f>
        <v/>
      </c>
      <c r="M26">
        <f>IFERROR(INDEX(Mesarios!$P$2:$P$112,MATCH($B26&amp;"|1º Secretário",Mesarios!$F$2:$F$112,0)),"VAGO")</f>
        <v/>
      </c>
      <c r="N26">
        <f>(G26="Confirmado")+(I26="Confirmado")+(K26="Confirmado")+(M26="Confirmado")</f>
        <v/>
      </c>
      <c r="O26">
        <f>4-N26</f>
        <v/>
      </c>
      <c r="P26">
        <f>MAX(0,E26-N26)</f>
        <v/>
      </c>
      <c r="Q26">
        <f>IF(G26&lt;&gt;"Confirmado","Sem Presidente confirmado","")&amp;IF(AND(G26&lt;&gt;"Confirmado",P26&gt;0)," · ","")&amp;IF(P26&gt;0,"Faltam "&amp;P26&amp;" para a meta","")</f>
        <v/>
      </c>
    </row>
    <row r="27">
      <c r="A27" t="n">
        <v>26</v>
      </c>
      <c r="B27" t="n">
        <v>1352</v>
      </c>
      <c r="C27">
        <f>INDEX('Por secao'!$Q$2:$Q$29,MATCH($B27,'Por secao'!$A$2:$A$29,0))</f>
        <v/>
      </c>
      <c r="D27">
        <f>INDEX('Por secao'!$W$2:$W$29,MATCH($B27,'Por secao'!$A$2:$A$29,0))</f>
        <v/>
      </c>
      <c r="E27">
        <f>IF(OR(D27="Alto",D27="Médio"),4,$C$32)</f>
        <v/>
      </c>
      <c r="F27">
        <f>IFERROR(INDEX(Mesarios!$D$2:$D$112,MATCH($B27&amp;"|Presidente",Mesarios!$F$2:$F$112,0)),"—")</f>
        <v/>
      </c>
      <c r="G27">
        <f>IFERROR(INDEX(Mesarios!$P$2:$P$112,MATCH($B27&amp;"|Presidente",Mesarios!$F$2:$F$112,0)),"VAGO")</f>
        <v/>
      </c>
      <c r="H27">
        <f>IFERROR(INDEX(Mesarios!$D$2:$D$112,MATCH($B27&amp;"|1º Mesário",Mesarios!$F$2:$F$112,0)),"—")</f>
        <v/>
      </c>
      <c r="I27">
        <f>IFERROR(INDEX(Mesarios!$P$2:$P$112,MATCH($B27&amp;"|1º Mesário",Mesarios!$F$2:$F$112,0)),"VAGO")</f>
        <v/>
      </c>
      <c r="J27">
        <f>IFERROR(INDEX(Mesarios!$D$2:$D$112,MATCH($B27&amp;"|2º Mesário",Mesarios!$F$2:$F$112,0)),"—")</f>
        <v/>
      </c>
      <c r="K27">
        <f>IFERROR(INDEX(Mesarios!$P$2:$P$112,MATCH($B27&amp;"|2º Mesário",Mesarios!$F$2:$F$112,0)),"VAGO")</f>
        <v/>
      </c>
      <c r="L27">
        <f>IFERROR(INDEX(Mesarios!$D$2:$D$112,MATCH($B27&amp;"|1º Secretário",Mesarios!$F$2:$F$112,0)),"—")</f>
        <v/>
      </c>
      <c r="M27">
        <f>IFERROR(INDEX(Mesarios!$P$2:$P$112,MATCH($B27&amp;"|1º Secretário",Mesarios!$F$2:$F$112,0)),"VAGO")</f>
        <v/>
      </c>
      <c r="N27">
        <f>(G27="Confirmado")+(I27="Confirmado")+(K27="Confirmado")+(M27="Confirmado")</f>
        <v/>
      </c>
      <c r="O27">
        <f>4-N27</f>
        <v/>
      </c>
      <c r="P27">
        <f>MAX(0,E27-N27)</f>
        <v/>
      </c>
      <c r="Q27">
        <f>IF(G27&lt;&gt;"Confirmado","Sem Presidente confirmado","")&amp;IF(AND(G27&lt;&gt;"Confirmado",P27&gt;0)," · ","")&amp;IF(P27&gt;0,"Faltam "&amp;P27&amp;" para a meta","")</f>
        <v/>
      </c>
    </row>
    <row r="28">
      <c r="A28" t="n">
        <v>27</v>
      </c>
      <c r="B28" t="n">
        <v>513</v>
      </c>
      <c r="C28">
        <f>INDEX('Por secao'!$Q$2:$Q$29,MATCH($B28,'Por secao'!$A$2:$A$29,0))</f>
        <v/>
      </c>
      <c r="D28">
        <f>INDEX('Por secao'!$W$2:$W$29,MATCH($B28,'Por secao'!$A$2:$A$29,0))</f>
        <v/>
      </c>
      <c r="E28">
        <f>IF(OR(D28="Alto",D28="Médio"),4,$C$32)</f>
        <v/>
      </c>
      <c r="F28">
        <f>IFERROR(INDEX(Mesarios!$D$2:$D$112,MATCH($B28&amp;"|Presidente",Mesarios!$F$2:$F$112,0)),"—")</f>
        <v/>
      </c>
      <c r="G28">
        <f>IFERROR(INDEX(Mesarios!$P$2:$P$112,MATCH($B28&amp;"|Presidente",Mesarios!$F$2:$F$112,0)),"VAGO")</f>
        <v/>
      </c>
      <c r="H28">
        <f>IFERROR(INDEX(Mesarios!$D$2:$D$112,MATCH($B28&amp;"|1º Mesário",Mesarios!$F$2:$F$112,0)),"—")</f>
        <v/>
      </c>
      <c r="I28">
        <f>IFERROR(INDEX(Mesarios!$P$2:$P$112,MATCH($B28&amp;"|1º Mesário",Mesarios!$F$2:$F$112,0)),"VAGO")</f>
        <v/>
      </c>
      <c r="J28">
        <f>IFERROR(INDEX(Mesarios!$D$2:$D$112,MATCH($B28&amp;"|2º Mesário",Mesarios!$F$2:$F$112,0)),"—")</f>
        <v/>
      </c>
      <c r="K28">
        <f>IFERROR(INDEX(Mesarios!$P$2:$P$112,MATCH($B28&amp;"|2º Mesário",Mesarios!$F$2:$F$112,0)),"VAGO")</f>
        <v/>
      </c>
      <c r="L28">
        <f>IFERROR(INDEX(Mesarios!$D$2:$D$112,MATCH($B28&amp;"|1º Secretário",Mesarios!$F$2:$F$112,0)),"—")</f>
        <v/>
      </c>
      <c r="M28">
        <f>IFERROR(INDEX(Mesarios!$P$2:$P$112,MATCH($B28&amp;"|1º Secretário",Mesarios!$F$2:$F$112,0)),"VAGO")</f>
        <v/>
      </c>
      <c r="N28">
        <f>(G28="Confirmado")+(I28="Confirmado")+(K28="Confirmado")+(M28="Confirmado")</f>
        <v/>
      </c>
      <c r="O28">
        <f>4-N28</f>
        <v/>
      </c>
      <c r="P28">
        <f>MAX(0,E28-N28)</f>
        <v/>
      </c>
      <c r="Q28">
        <f>IF(G28&lt;&gt;"Confirmado","Sem Presidente confirmado","")&amp;IF(AND(G28&lt;&gt;"Confirmado",P28&gt;0)," · ","")&amp;IF(P28&gt;0,"Faltam "&amp;P28&amp;" para a meta","")</f>
        <v/>
      </c>
    </row>
    <row r="29">
      <c r="A29" t="n">
        <v>28</v>
      </c>
      <c r="B29" t="n">
        <v>3442</v>
      </c>
      <c r="C29">
        <f>INDEX('Por secao'!$Q$2:$Q$29,MATCH($B29,'Por secao'!$A$2:$A$29,0))</f>
        <v/>
      </c>
      <c r="D29">
        <f>INDEX('Por secao'!$W$2:$W$29,MATCH($B29,'Por secao'!$A$2:$A$29,0))</f>
        <v/>
      </c>
      <c r="E29">
        <f>IF(OR(D29="Alto",D29="Médio"),4,$C$32)</f>
        <v/>
      </c>
      <c r="F29">
        <f>IFERROR(INDEX(Mesarios!$D$2:$D$112,MATCH($B29&amp;"|Presidente",Mesarios!$F$2:$F$112,0)),"—")</f>
        <v/>
      </c>
      <c r="G29">
        <f>IFERROR(INDEX(Mesarios!$P$2:$P$112,MATCH($B29&amp;"|Presidente",Mesarios!$F$2:$F$112,0)),"VAGO")</f>
        <v/>
      </c>
      <c r="H29">
        <f>IFERROR(INDEX(Mesarios!$D$2:$D$112,MATCH($B29&amp;"|1º Mesário",Mesarios!$F$2:$F$112,0)),"—")</f>
        <v/>
      </c>
      <c r="I29">
        <f>IFERROR(INDEX(Mesarios!$P$2:$P$112,MATCH($B29&amp;"|1º Mesário",Mesarios!$F$2:$F$112,0)),"VAGO")</f>
        <v/>
      </c>
      <c r="J29">
        <f>IFERROR(INDEX(Mesarios!$D$2:$D$112,MATCH($B29&amp;"|2º Mesário",Mesarios!$F$2:$F$112,0)),"—")</f>
        <v/>
      </c>
      <c r="K29">
        <f>IFERROR(INDEX(Mesarios!$P$2:$P$112,MATCH($B29&amp;"|2º Mesário",Mesarios!$F$2:$F$112,0)),"VAGO")</f>
        <v/>
      </c>
      <c r="L29">
        <f>IFERROR(INDEX(Mesarios!$D$2:$D$112,MATCH($B29&amp;"|1º Secretário",Mesarios!$F$2:$F$112,0)),"—")</f>
        <v/>
      </c>
      <c r="M29">
        <f>IFERROR(INDEX(Mesarios!$P$2:$P$112,MATCH($B29&amp;"|1º Secretário",Mesarios!$F$2:$F$112,0)),"VAGO")</f>
        <v/>
      </c>
      <c r="N29">
        <f>(G29="Confirmado")+(I29="Confirmado")+(K29="Confirmado")+(M29="Confirmado")</f>
        <v/>
      </c>
      <c r="O29">
        <f>4-N29</f>
        <v/>
      </c>
      <c r="P29">
        <f>MAX(0,E29-N29)</f>
        <v/>
      </c>
      <c r="Q29">
        <f>IF(G29&lt;&gt;"Confirmado","Sem Presidente confirmado","")&amp;IF(AND(G29&lt;&gt;"Confirmado",P29&gt;0)," · ","")&amp;IF(P29&gt;0,"Faltam "&amp;P29&amp;" para a meta","")</f>
        <v/>
      </c>
    </row>
    <row r="30">
      <c r="A30" s="44" t="n"/>
      <c r="B30" s="44" t="inlineStr">
        <is>
          <t>Total</t>
        </is>
      </c>
      <c r="C30" s="44">
        <f>SUM(C2:C29)</f>
        <v/>
      </c>
      <c r="D30" s="44" t="n"/>
      <c r="E30" s="44">
        <f>SUM(E2:E29)</f>
        <v/>
      </c>
      <c r="F30" s="44" t="n"/>
      <c r="G30" s="44">
        <f>COUNTIF(G2:G29,"Confirmado")</f>
        <v/>
      </c>
      <c r="H30" s="44" t="n"/>
      <c r="I30" s="44">
        <f>COUNTIF(I2:I29,"Confirmado")</f>
        <v/>
      </c>
      <c r="J30" s="44" t="n"/>
      <c r="K30" s="44">
        <f>COUNTIF(K2:K29,"Confirmado")</f>
        <v/>
      </c>
      <c r="L30" s="44" t="n"/>
      <c r="M30" s="44">
        <f>COUNTIF(M2:M29,"Confirmado")</f>
        <v/>
      </c>
      <c r="N30" s="44">
        <f>SUM(N2:N29)</f>
        <v/>
      </c>
      <c r="O30" s="44">
        <f>SUM(O2:O29)</f>
        <v/>
      </c>
      <c r="P30" s="44">
        <f>SUM(P2:P29)</f>
        <v/>
      </c>
      <c r="Q30" s="44">
        <f>COUNTIF(G2:G29,"&lt;&gt;Confirmado")&amp;" urnas sem Presidente confirmado"</f>
        <v/>
      </c>
    </row>
    <row r="32">
      <c r="A32" s="44" t="inlineStr">
        <is>
          <t>Meta das urnas Baixo (premissa, editável):</t>
        </is>
      </c>
      <c r="C32" s="45" t="n">
        <v>3</v>
      </c>
    </row>
    <row r="33" ht="45" customHeight="1">
      <c r="A33" s="46" t="inlineStr">
        <is>
          <t>Ordem = posição no Ranking (comparecimento efetivo dos BUs de 04/10, arquivo Seções_Atualizadas). Lotação integral (4) nas urnas de faixa efetiva Alto ou Médio; nas Baixo, a meta da célula C32. Status lido de Mesarios!P (Resposta 2º turno): mudou uma resposta lá, esta aba se atualiza. Confirmado = respondeu SIM no formulário de 2º turno; Não volta = respondeu NÃO; Sem resposta = designado(a) que não respondeu; VAGO = função sem designado desde o 1º turno.</t>
        </is>
      </c>
    </row>
  </sheetData>
  <mergeCells count="1">
    <mergeCell ref="A33:Q33"/>
  </mergeCells>
  <conditionalFormatting sqref="G2:G29">
    <cfRule type="expression" priority="1" dxfId="28">
      <formula>G2="Confirmado"</formula>
    </cfRule>
    <cfRule type="expression" priority="2" dxfId="29">
      <formula>G2="Sem resposta"</formula>
    </cfRule>
    <cfRule type="expression" priority="3" dxfId="30">
      <formula>G2="Não volta"</formula>
    </cfRule>
    <cfRule type="expression" priority="4" dxfId="31">
      <formula>G2="VAGO"</formula>
    </cfRule>
  </conditionalFormatting>
  <conditionalFormatting sqref="I2:I29">
    <cfRule type="expression" priority="5" dxfId="28">
      <formula>I2="Confirmado"</formula>
    </cfRule>
    <cfRule type="expression" priority="6" dxfId="29">
      <formula>I2="Sem resposta"</formula>
    </cfRule>
    <cfRule type="expression" priority="7" dxfId="30">
      <formula>I2="Não volta"</formula>
    </cfRule>
    <cfRule type="expression" priority="8" dxfId="31">
      <formula>I2="VAGO"</formula>
    </cfRule>
  </conditionalFormatting>
  <conditionalFormatting sqref="K2:K29">
    <cfRule type="expression" priority="9" dxfId="28">
      <formula>K2="Confirmado"</formula>
    </cfRule>
    <cfRule type="expression" priority="10" dxfId="29">
      <formula>K2="Sem resposta"</formula>
    </cfRule>
    <cfRule type="expression" priority="11" dxfId="30">
      <formula>K2="Não volta"</formula>
    </cfRule>
    <cfRule type="expression" priority="12" dxfId="31">
      <formula>K2="VAGO"</formula>
    </cfRule>
  </conditionalFormatting>
  <conditionalFormatting sqref="M2:M29">
    <cfRule type="expression" priority="13" dxfId="28">
      <formula>M2="Confirmado"</formula>
    </cfRule>
    <cfRule type="expression" priority="14" dxfId="29">
      <formula>M2="Sem resposta"</formula>
    </cfRule>
    <cfRule type="expression" priority="15" dxfId="30">
      <formula>M2="Não volta"</formula>
    </cfRule>
    <cfRule type="expression" priority="16" dxfId="31">
      <formula>M2="VAGO"</formula>
    </cfRule>
  </conditionalFormatting>
  <conditionalFormatting sqref="A2:B29">
    <cfRule type="expression" priority="17" dxfId="32">
      <formula>$D2="Alto"</formula>
    </cfRule>
    <cfRule type="expression" priority="18" dxfId="33">
      <formula>$D2="Médio"</formula>
    </cfRule>
    <cfRule type="expression" priority="19" dxfId="34">
      <formula>$D2="Baixo"</formula>
    </cfRule>
  </conditionalFormatting>
  <conditionalFormatting sqref="D2:E29">
    <cfRule type="expression" priority="20" dxfId="32">
      <formula>$D2="Alto"</formula>
    </cfRule>
    <cfRule type="expression" priority="21" dxfId="33">
      <formula>$D2="Médio"</formula>
    </cfRule>
    <cfRule type="expression" priority="22" dxfId="34">
      <formula>$D2="Baixo"</formula>
    </cfRule>
  </conditionalFormatting>
  <conditionalFormatting sqref="P2:Q29">
    <cfRule type="expression" priority="23" dxfId="30">
      <formula>$P2&gt;0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tabSelected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14" customWidth="1" min="4" max="4"/>
    <col width="13" customWidth="1" min="5" max="5"/>
    <col width="14" customWidth="1" min="6" max="6"/>
    <col width="38" customWidth="1" min="7" max="7"/>
    <col width="34" customWidth="1" min="8" max="8"/>
    <col width="11" customWidth="1" min="9" max="9"/>
    <col width="46" customWidth="1" min="10" max="10"/>
  </cols>
  <sheetData>
    <row r="1" ht="32" customHeight="1">
      <c r="A1" s="43" t="inlineStr">
        <is>
          <t>Pos.</t>
        </is>
      </c>
      <c r="B1" s="43" t="inlineStr">
        <is>
          <t>Seção</t>
        </is>
      </c>
      <c r="C1" s="43" t="inlineStr">
        <is>
          <t>Faixa efetiva</t>
        </is>
      </c>
      <c r="D1" s="43" t="inlineStr">
        <is>
          <t>Função</t>
        </is>
      </c>
      <c r="E1" s="43" t="inlineStr">
        <is>
          <t>Prioridade</t>
        </is>
      </c>
      <c r="F1" s="43" t="inlineStr">
        <is>
          <t>Situação</t>
        </is>
      </c>
      <c r="G1" s="43" t="inlineStr">
        <is>
          <t>Designado(a) no 1º turno</t>
        </is>
      </c>
      <c r="H1" s="43" t="inlineStr">
        <is>
          <t>E-mail</t>
        </is>
      </c>
      <c r="I1" s="43" t="inlineStr">
        <is>
          <t>Presença 1º turno</t>
        </is>
      </c>
      <c r="J1" s="43" t="inlineStr">
        <is>
          <t>Ação</t>
        </is>
      </c>
    </row>
    <row r="2">
      <c r="A2" t="n">
        <v>1</v>
      </c>
      <c r="B2" t="n">
        <v>3315</v>
      </c>
      <c r="C2" t="inlineStr">
        <is>
          <t>Alto</t>
        </is>
      </c>
      <c r="D2" t="inlineStr">
        <is>
          <t>Presidente</t>
        </is>
      </c>
      <c r="E2" t="inlineStr">
        <is>
          <t>Necessária</t>
        </is>
      </c>
      <c r="F2" t="inlineStr">
        <is>
          <t>Sem resposta</t>
        </is>
      </c>
      <c r="G2" t="inlineStr">
        <is>
          <t>JAIR DE ASSUNÇÃO CORREIA FILHO</t>
        </is>
      </c>
      <c r="H2" t="inlineStr">
        <is>
          <t>jair.correia@itamaraty.gov.br</t>
        </is>
      </c>
      <c r="I2" t="inlineStr">
        <is>
          <t>NAO</t>
        </is>
      </c>
      <c r="J2" t="inlineStr">
        <is>
          <t>Contatar o(a) designado(a); se não confirmar, recrutar substituto</t>
        </is>
      </c>
    </row>
    <row r="3">
      <c r="A3" t="n">
        <v>1</v>
      </c>
      <c r="B3" t="n">
        <v>3315</v>
      </c>
      <c r="C3" t="inlineStr">
        <is>
          <t>Alto</t>
        </is>
      </c>
      <c r="D3" t="inlineStr">
        <is>
          <t>1º Secretário</t>
        </is>
      </c>
      <c r="E3" t="inlineStr">
        <is>
          <t>Necessária</t>
        </is>
      </c>
      <c r="F3" t="inlineStr">
        <is>
          <t>Não volta</t>
        </is>
      </c>
      <c r="G3" t="inlineStr">
        <is>
          <t>ALANE GERSSICA DE ANDRADE DO NASCIMENTO</t>
        </is>
      </c>
      <c r="H3" t="inlineStr">
        <is>
          <t>alanegerssicaandrade@gmail.com</t>
        </is>
      </c>
      <c r="I3" t="inlineStr">
        <is>
          <t>NAO</t>
        </is>
      </c>
      <c r="J3" t="inlineStr">
        <is>
          <t>Recrutar substituto</t>
        </is>
      </c>
    </row>
    <row r="4">
      <c r="A4" t="n">
        <v>2</v>
      </c>
      <c r="B4" t="n">
        <v>3322</v>
      </c>
      <c r="C4" t="inlineStr">
        <is>
          <t>Alto</t>
        </is>
      </c>
      <c r="D4" t="inlineStr">
        <is>
          <t>Presidente</t>
        </is>
      </c>
      <c r="E4" t="inlineStr">
        <is>
          <t>Necessária</t>
        </is>
      </c>
      <c r="F4" t="inlineStr">
        <is>
          <t>Sem resposta</t>
        </is>
      </c>
      <c r="G4" t="inlineStr">
        <is>
          <t>MAÍRA FABIOLA FABIANI</t>
        </is>
      </c>
      <c r="H4" t="inlineStr">
        <is>
          <t>maira.fabiani@itamaraty.gov.br</t>
        </is>
      </c>
      <c r="I4" t="inlineStr">
        <is>
          <t>SIM</t>
        </is>
      </c>
      <c r="J4" t="inlineStr">
        <is>
          <t>Contatar o(a) designado(a); se não confirmar, recrutar substituto</t>
        </is>
      </c>
    </row>
    <row r="5">
      <c r="A5" t="n">
        <v>2</v>
      </c>
      <c r="B5" t="n">
        <v>3322</v>
      </c>
      <c r="C5" t="inlineStr">
        <is>
          <t>Alto</t>
        </is>
      </c>
      <c r="D5" t="inlineStr">
        <is>
          <t>2º Mesário</t>
        </is>
      </c>
      <c r="E5" t="inlineStr">
        <is>
          <t>Necessária</t>
        </is>
      </c>
      <c r="F5" t="inlineStr">
        <is>
          <t>Sem resposta</t>
        </is>
      </c>
      <c r="G5" t="inlineStr">
        <is>
          <t>RUDINEI CORDEIRO</t>
        </is>
      </c>
      <c r="I5" t="inlineStr">
        <is>
          <t>NAO</t>
        </is>
      </c>
      <c r="J5" t="inlineStr">
        <is>
          <t>Contatar o(a) designado(a); se não confirmar, recrutar substituto</t>
        </is>
      </c>
    </row>
    <row r="6">
      <c r="A6" t="n">
        <v>3</v>
      </c>
      <c r="B6" t="n">
        <v>3313</v>
      </c>
      <c r="C6" t="inlineStr">
        <is>
          <t>Alto</t>
        </is>
      </c>
      <c r="D6" t="inlineStr">
        <is>
          <t>Presidente</t>
        </is>
      </c>
      <c r="E6" t="inlineStr">
        <is>
          <t>Necessária</t>
        </is>
      </c>
      <c r="F6" t="inlineStr">
        <is>
          <t>Sem resposta</t>
        </is>
      </c>
      <c r="G6" t="inlineStr">
        <is>
          <t>VANESSA ROCHA BARBOSA BARBALHO</t>
        </is>
      </c>
      <c r="H6" t="inlineStr">
        <is>
          <t>vanessa.barbosa@itamaraty.gov.br</t>
        </is>
      </c>
      <c r="I6" t="inlineStr">
        <is>
          <t>SIM</t>
        </is>
      </c>
      <c r="J6" t="inlineStr">
        <is>
          <t>Contatar o(a) designado(a); se não confirmar, recrutar substituto</t>
        </is>
      </c>
    </row>
    <row r="7">
      <c r="A7" t="n">
        <v>3</v>
      </c>
      <c r="B7" t="n">
        <v>3313</v>
      </c>
      <c r="C7" t="inlineStr">
        <is>
          <t>Alto</t>
        </is>
      </c>
      <c r="D7" t="inlineStr">
        <is>
          <t>2º Mesário</t>
        </is>
      </c>
      <c r="E7" t="inlineStr">
        <is>
          <t>Necessária</t>
        </is>
      </c>
      <c r="F7" t="inlineStr">
        <is>
          <t>Não volta</t>
        </is>
      </c>
      <c r="G7" t="inlineStr">
        <is>
          <t>DANIEL PESSOA CARDEAL</t>
        </is>
      </c>
      <c r="H7" t="inlineStr">
        <is>
          <t xml:space="preserve">danielpessoa.cardeal@gmail.com </t>
        </is>
      </c>
      <c r="I7" t="inlineStr">
        <is>
          <t>SIM</t>
        </is>
      </c>
      <c r="J7" t="inlineStr">
        <is>
          <t>Recrutar substituto</t>
        </is>
      </c>
    </row>
    <row r="8">
      <c r="A8" t="n">
        <v>4</v>
      </c>
      <c r="B8" t="n">
        <v>3311</v>
      </c>
      <c r="C8" t="inlineStr">
        <is>
          <t>Médio</t>
        </is>
      </c>
      <c r="D8" t="inlineStr">
        <is>
          <t>1º Mesário</t>
        </is>
      </c>
      <c r="E8" t="inlineStr">
        <is>
          <t>Necessária</t>
        </is>
      </c>
      <c r="F8" t="inlineStr">
        <is>
          <t>Sem resposta</t>
        </is>
      </c>
      <c r="G8" t="inlineStr">
        <is>
          <t>RODRIGO ERASMO BARBOZA</t>
        </is>
      </c>
      <c r="H8" t="inlineStr">
        <is>
          <t xml:space="preserve"> rodrigoerasmobarboza@gmail.com</t>
        </is>
      </c>
      <c r="I8" t="inlineStr">
        <is>
          <t>SIM</t>
        </is>
      </c>
      <c r="J8" t="inlineStr">
        <is>
          <t>Contatar o(a) designado(a); se não confirmar, recrutar substituto</t>
        </is>
      </c>
    </row>
    <row r="9">
      <c r="A9" t="n">
        <v>5</v>
      </c>
      <c r="B9" t="n">
        <v>3302</v>
      </c>
      <c r="C9" t="inlineStr">
        <is>
          <t>Médio</t>
        </is>
      </c>
      <c r="D9" t="inlineStr">
        <is>
          <t>1º Mesário</t>
        </is>
      </c>
      <c r="E9" t="inlineStr">
        <is>
          <t>Necessária</t>
        </is>
      </c>
      <c r="F9" t="inlineStr">
        <is>
          <t>Sem resposta</t>
        </is>
      </c>
      <c r="G9" t="inlineStr">
        <is>
          <t>SANDRA REGINA CAETANO DE SOUZA</t>
        </is>
      </c>
      <c r="H9" t="inlineStr">
        <is>
          <t>s.caetanoregina1979@gmail.com</t>
        </is>
      </c>
      <c r="I9" t="inlineStr">
        <is>
          <t>SIM</t>
        </is>
      </c>
      <c r="J9" t="inlineStr">
        <is>
          <t>Contatar o(a) designado(a); se não confirmar, recrutar substituto</t>
        </is>
      </c>
    </row>
    <row r="10">
      <c r="A10" t="n">
        <v>5</v>
      </c>
      <c r="B10" t="n">
        <v>3302</v>
      </c>
      <c r="C10" t="inlineStr">
        <is>
          <t>Médio</t>
        </is>
      </c>
      <c r="D10" t="inlineStr">
        <is>
          <t>1º Secretário</t>
        </is>
      </c>
      <c r="E10" t="inlineStr">
        <is>
          <t>Necessária</t>
        </is>
      </c>
      <c r="F10" t="inlineStr">
        <is>
          <t>Sem resposta</t>
        </is>
      </c>
      <c r="G10" t="inlineStr">
        <is>
          <t>TIAGO PAIVA DE CARVALHO</t>
        </is>
      </c>
      <c r="H10" t="inlineStr">
        <is>
          <t>Tiagocare@icloud.com</t>
        </is>
      </c>
      <c r="I10" t="inlineStr">
        <is>
          <t>SIM</t>
        </is>
      </c>
      <c r="J10" t="inlineStr">
        <is>
          <t>Contatar o(a) designado(a); se não confirmar, recrutar substituto</t>
        </is>
      </c>
    </row>
    <row r="11">
      <c r="A11" t="n">
        <v>6</v>
      </c>
      <c r="B11" t="n">
        <v>3179</v>
      </c>
      <c r="C11" t="inlineStr">
        <is>
          <t>Médio</t>
        </is>
      </c>
      <c r="D11" t="inlineStr">
        <is>
          <t>1º Mesário</t>
        </is>
      </c>
      <c r="E11" t="inlineStr">
        <is>
          <t>Necessária</t>
        </is>
      </c>
      <c r="F11" t="inlineStr">
        <is>
          <t>Sem resposta</t>
        </is>
      </c>
      <c r="G11" t="inlineStr">
        <is>
          <t>ANDERSON SILVERIO DE OLIVEIRA</t>
        </is>
      </c>
      <c r="H11" t="inlineStr">
        <is>
          <t>andersonsilverio14@gmail.com</t>
        </is>
      </c>
      <c r="I11" t="inlineStr">
        <is>
          <t>NAO</t>
        </is>
      </c>
      <c r="J11" t="inlineStr">
        <is>
          <t>Contatar o(a) designado(a); se não confirmar, recrutar substituto</t>
        </is>
      </c>
    </row>
    <row r="12">
      <c r="A12" t="n">
        <v>6</v>
      </c>
      <c r="B12" t="n">
        <v>3179</v>
      </c>
      <c r="C12" t="inlineStr">
        <is>
          <t>Médio</t>
        </is>
      </c>
      <c r="D12" t="inlineStr">
        <is>
          <t>2º Mesário</t>
        </is>
      </c>
      <c r="E12" t="inlineStr">
        <is>
          <t>Necessária</t>
        </is>
      </c>
      <c r="F12" t="inlineStr">
        <is>
          <t>Não volta</t>
        </is>
      </c>
      <c r="G12" t="inlineStr">
        <is>
          <t>JUSSARA VENEZA SOARES</t>
        </is>
      </c>
      <c r="H12" t="inlineStr">
        <is>
          <t>jussara.veneza@hotmail.com</t>
        </is>
      </c>
      <c r="I12" t="inlineStr">
        <is>
          <t>NAO</t>
        </is>
      </c>
      <c r="J12" t="inlineStr">
        <is>
          <t>Recrutar substituto</t>
        </is>
      </c>
    </row>
    <row r="13">
      <c r="A13" t="n">
        <v>7</v>
      </c>
      <c r="B13" t="n">
        <v>3306</v>
      </c>
      <c r="C13" t="inlineStr">
        <is>
          <t>Médio</t>
        </is>
      </c>
      <c r="D13" t="inlineStr">
        <is>
          <t>Presidente</t>
        </is>
      </c>
      <c r="E13" t="inlineStr">
        <is>
          <t>Necessária</t>
        </is>
      </c>
      <c r="F13" t="inlineStr">
        <is>
          <t>Sem resposta</t>
        </is>
      </c>
      <c r="G13" t="inlineStr">
        <is>
          <t>JULIANA WONG MENDONÇA</t>
        </is>
      </c>
      <c r="H13" t="inlineStr">
        <is>
          <t>julianawongm@gmail.com</t>
        </is>
      </c>
      <c r="I13" t="inlineStr">
        <is>
          <t>SIM</t>
        </is>
      </c>
      <c r="J13" t="inlineStr">
        <is>
          <t>Contatar o(a) designado(a); se não confirmar, recrutar substituto</t>
        </is>
      </c>
    </row>
    <row r="14">
      <c r="A14" t="n">
        <v>7</v>
      </c>
      <c r="B14" t="n">
        <v>3306</v>
      </c>
      <c r="C14" t="inlineStr">
        <is>
          <t>Médio</t>
        </is>
      </c>
      <c r="D14" t="inlineStr">
        <is>
          <t>1º Mesário</t>
        </is>
      </c>
      <c r="E14" t="inlineStr">
        <is>
          <t>Necessária</t>
        </is>
      </c>
      <c r="F14" t="inlineStr">
        <is>
          <t>Sem resposta</t>
        </is>
      </c>
      <c r="G14" t="inlineStr">
        <is>
          <t>LUISA OLIVEIRA DO MONTE CARMELO</t>
        </is>
      </c>
      <c r="H14" t="inlineStr">
        <is>
          <t xml:space="preserve">luisamontecarmelo@gmail.com </t>
        </is>
      </c>
      <c r="I14" t="inlineStr">
        <is>
          <t>SIM</t>
        </is>
      </c>
      <c r="J14" t="inlineStr">
        <is>
          <t>Contatar o(a) designado(a); se não confirmar, recrutar substituto</t>
        </is>
      </c>
    </row>
    <row r="15">
      <c r="A15" t="n">
        <v>8</v>
      </c>
      <c r="B15" t="n">
        <v>3161</v>
      </c>
      <c r="C15" t="inlineStr">
        <is>
          <t>Baixo</t>
        </is>
      </c>
      <c r="D15" t="inlineStr">
        <is>
          <t>Presidente</t>
        </is>
      </c>
      <c r="E15" t="inlineStr">
        <is>
          <t>Necessária</t>
        </is>
      </c>
      <c r="F15" t="inlineStr">
        <is>
          <t>Sem resposta</t>
        </is>
      </c>
      <c r="G15" t="inlineStr">
        <is>
          <t>MARCELA TIYOKO PASSOS KONDO</t>
        </is>
      </c>
      <c r="H15" t="inlineStr">
        <is>
          <t>Marcelatkondo@gmail.com</t>
        </is>
      </c>
      <c r="I15" t="inlineStr">
        <is>
          <t>NAO</t>
        </is>
      </c>
      <c r="J15" t="inlineStr">
        <is>
          <t>Contatar o(a) designado(a); se não confirmar, recrutar substituto</t>
        </is>
      </c>
    </row>
    <row r="16">
      <c r="A16" t="n">
        <v>8</v>
      </c>
      <c r="B16" t="n">
        <v>3161</v>
      </c>
      <c r="C16" t="inlineStr">
        <is>
          <t>Baixo</t>
        </is>
      </c>
      <c r="D16" t="inlineStr">
        <is>
          <t>1º Secretário</t>
        </is>
      </c>
      <c r="E16" t="inlineStr">
        <is>
          <t>Desejável</t>
        </is>
      </c>
      <c r="F16" t="inlineStr">
        <is>
          <t>Sem resposta</t>
        </is>
      </c>
      <c r="G16" t="inlineStr">
        <is>
          <t>ANTHONY EDWARD DA SILVA AGAPITO</t>
        </is>
      </c>
      <c r="H16" t="inlineStr">
        <is>
          <t>anthonyedasilvagapito@gmail.com</t>
        </is>
      </c>
      <c r="I16" t="inlineStr">
        <is>
          <t>SIM</t>
        </is>
      </c>
      <c r="J16" t="inlineStr">
        <is>
          <t>Contatar o(a) designado(a); se não confirmar, recrutar substituto</t>
        </is>
      </c>
    </row>
    <row r="17">
      <c r="A17" t="n">
        <v>9</v>
      </c>
      <c r="B17" t="n">
        <v>3245</v>
      </c>
      <c r="C17" t="inlineStr">
        <is>
          <t>Baixo</t>
        </is>
      </c>
      <c r="D17" t="inlineStr">
        <is>
          <t>1º Mesário</t>
        </is>
      </c>
      <c r="E17" t="inlineStr">
        <is>
          <t>Necessária</t>
        </is>
      </c>
      <c r="F17" t="inlineStr">
        <is>
          <t>Sem resposta</t>
        </is>
      </c>
      <c r="G17" t="inlineStr">
        <is>
          <t>JOAO GABRIEL BARBOSA CESAR</t>
        </is>
      </c>
      <c r="H17" t="inlineStr">
        <is>
          <t>sem contato</t>
        </is>
      </c>
      <c r="I17" t="inlineStr">
        <is>
          <t>SIM</t>
        </is>
      </c>
      <c r="J17" t="inlineStr">
        <is>
          <t>Contatar o(a) designado(a); se não confirmar, recrutar substituto</t>
        </is>
      </c>
    </row>
    <row r="18">
      <c r="A18" t="n">
        <v>9</v>
      </c>
      <c r="B18" t="n">
        <v>3245</v>
      </c>
      <c r="C18" t="inlineStr">
        <is>
          <t>Baixo</t>
        </is>
      </c>
      <c r="D18" t="inlineStr">
        <is>
          <t>1º Secretário</t>
        </is>
      </c>
      <c r="E18" t="inlineStr">
        <is>
          <t>Necessária</t>
        </is>
      </c>
      <c r="F18" t="inlineStr">
        <is>
          <t>Sem resposta</t>
        </is>
      </c>
      <c r="G18" t="inlineStr">
        <is>
          <t>VINICIUS ARAUJO DE OLIVEIRA</t>
        </is>
      </c>
      <c r="H18" t="inlineStr">
        <is>
          <t xml:space="preserve"> voliveira@gmail.com</t>
        </is>
      </c>
      <c r="I18" t="inlineStr">
        <is>
          <t>NAO</t>
        </is>
      </c>
      <c r="J18" t="inlineStr">
        <is>
          <t>Contatar o(a) designado(a); se não confirmar, recrutar substituto</t>
        </is>
      </c>
    </row>
    <row r="19">
      <c r="A19" t="n">
        <v>9</v>
      </c>
      <c r="B19" t="n">
        <v>3245</v>
      </c>
      <c r="C19" t="inlineStr">
        <is>
          <t>Baixo</t>
        </is>
      </c>
      <c r="D19" t="inlineStr">
        <is>
          <t>2º Mesário</t>
        </is>
      </c>
      <c r="E19" t="inlineStr">
        <is>
          <t>Desejável</t>
        </is>
      </c>
      <c r="F19" t="inlineStr">
        <is>
          <t>Sem resposta</t>
        </is>
      </c>
      <c r="G19" t="inlineStr">
        <is>
          <t>TALITA DE ARAUJO CARVALHO</t>
        </is>
      </c>
      <c r="H19" t="inlineStr">
        <is>
          <t>sem contato</t>
        </is>
      </c>
      <c r="I19" t="inlineStr">
        <is>
          <t>SIM</t>
        </is>
      </c>
      <c r="J19" t="inlineStr">
        <is>
          <t>Contatar o(a) designado(a); se não confirmar, recrutar substituto</t>
        </is>
      </c>
    </row>
    <row r="20">
      <c r="A20" t="n">
        <v>10</v>
      </c>
      <c r="B20" t="n">
        <v>3108</v>
      </c>
      <c r="C20" t="inlineStr">
        <is>
          <t>Baixo</t>
        </is>
      </c>
      <c r="D20" t="inlineStr">
        <is>
          <t>1º Mesário</t>
        </is>
      </c>
      <c r="E20" t="inlineStr">
        <is>
          <t>Necessária</t>
        </is>
      </c>
      <c r="F20" t="inlineStr">
        <is>
          <t>Sem resposta</t>
        </is>
      </c>
      <c r="G20" t="inlineStr">
        <is>
          <t>DANIEL DOS SANTOS JORGE</t>
        </is>
      </c>
      <c r="H20" t="inlineStr">
        <is>
          <t>daniel20022304@gmail.com</t>
        </is>
      </c>
      <c r="I20" t="inlineStr">
        <is>
          <t>NAO</t>
        </is>
      </c>
      <c r="J20" t="inlineStr">
        <is>
          <t>Contatar o(a) designado(a); se não confirmar, recrutar substituto</t>
        </is>
      </c>
    </row>
    <row r="21">
      <c r="A21" t="n">
        <v>10</v>
      </c>
      <c r="B21" t="n">
        <v>3108</v>
      </c>
      <c r="C21" t="inlineStr">
        <is>
          <t>Baixo</t>
        </is>
      </c>
      <c r="D21" t="inlineStr">
        <is>
          <t>1º Secretário</t>
        </is>
      </c>
      <c r="E21" t="inlineStr">
        <is>
          <t>Desejável</t>
        </is>
      </c>
      <c r="F21" t="inlineStr">
        <is>
          <t>Sem resposta</t>
        </is>
      </c>
      <c r="G21" t="inlineStr">
        <is>
          <t>DANIELA HADWIG DULLIUS</t>
        </is>
      </c>
      <c r="H21" t="inlineStr">
        <is>
          <t>dulliusdaniela@gmail.com</t>
        </is>
      </c>
      <c r="I21" t="inlineStr">
        <is>
          <t>SIM</t>
        </is>
      </c>
      <c r="J21" t="inlineStr">
        <is>
          <t>Contatar o(a) designado(a); se não confirmar, recrutar substituto</t>
        </is>
      </c>
    </row>
    <row r="22">
      <c r="A22" t="n">
        <v>12</v>
      </c>
      <c r="B22" t="n">
        <v>3229</v>
      </c>
      <c r="C22" t="inlineStr">
        <is>
          <t>Baixo</t>
        </is>
      </c>
      <c r="D22" t="inlineStr">
        <is>
          <t>1º Mesário</t>
        </is>
      </c>
      <c r="E22" t="inlineStr">
        <is>
          <t>Necessária</t>
        </is>
      </c>
      <c r="F22" t="inlineStr">
        <is>
          <t>Sem resposta</t>
        </is>
      </c>
      <c r="G22" t="inlineStr">
        <is>
          <t>FRANCISCA THAMIRES DE SOUSA</t>
        </is>
      </c>
      <c r="H22" t="inlineStr">
        <is>
          <t>sousa.franciscaa@gmail.com</t>
        </is>
      </c>
      <c r="I22" t="inlineStr">
        <is>
          <t>SIM</t>
        </is>
      </c>
      <c r="J22" t="inlineStr">
        <is>
          <t>Contatar o(a) designado(a); se não confirmar, recrutar substituto</t>
        </is>
      </c>
    </row>
    <row r="23">
      <c r="A23" t="n">
        <v>12</v>
      </c>
      <c r="B23" t="n">
        <v>3229</v>
      </c>
      <c r="C23" t="inlineStr">
        <is>
          <t>Baixo</t>
        </is>
      </c>
      <c r="D23" t="inlineStr">
        <is>
          <t>1º Secretário</t>
        </is>
      </c>
      <c r="E23" t="inlineStr">
        <is>
          <t>Desejável</t>
        </is>
      </c>
      <c r="F23" t="inlineStr">
        <is>
          <t>Sem resposta</t>
        </is>
      </c>
      <c r="G23" t="inlineStr">
        <is>
          <t>LUCAS FEITOSA CLAUDINO</t>
        </is>
      </c>
      <c r="H23" t="inlineStr">
        <is>
          <t>lcaprezzi@gmail.com</t>
        </is>
      </c>
      <c r="I23" t="inlineStr">
        <is>
          <t>SIM</t>
        </is>
      </c>
      <c r="J23" t="inlineStr">
        <is>
          <t>Contatar o(a) designado(a); se não confirmar, recrutar substituto</t>
        </is>
      </c>
    </row>
    <row r="24">
      <c r="A24" t="n">
        <v>13</v>
      </c>
      <c r="B24" t="n">
        <v>3832</v>
      </c>
      <c r="C24" t="inlineStr">
        <is>
          <t>Baixo</t>
        </is>
      </c>
      <c r="D24" t="inlineStr">
        <is>
          <t>Presidente</t>
        </is>
      </c>
      <c r="E24" t="inlineStr">
        <is>
          <t>Necessária</t>
        </is>
      </c>
      <c r="F24" t="inlineStr">
        <is>
          <t>Não volta</t>
        </is>
      </c>
      <c r="G24" t="inlineStr">
        <is>
          <t>GILMAR BARBOSA DE SOUZA</t>
        </is>
      </c>
      <c r="H24" t="inlineStr">
        <is>
          <t>sem contato</t>
        </is>
      </c>
      <c r="I24" t="inlineStr">
        <is>
          <t>SIM</t>
        </is>
      </c>
      <c r="J24" t="inlineStr">
        <is>
          <t>Recrutar substituto</t>
        </is>
      </c>
    </row>
    <row r="25">
      <c r="A25" t="n">
        <v>13</v>
      </c>
      <c r="B25" t="n">
        <v>3832</v>
      </c>
      <c r="C25" t="inlineStr">
        <is>
          <t>Baixo</t>
        </is>
      </c>
      <c r="D25" t="inlineStr">
        <is>
          <t>2º Mesário</t>
        </is>
      </c>
      <c r="E25" t="inlineStr">
        <is>
          <t>Desejável</t>
        </is>
      </c>
      <c r="F25" t="inlineStr">
        <is>
          <t>Sem resposta</t>
        </is>
      </c>
      <c r="G25" t="inlineStr">
        <is>
          <t>ROBERTO CANALLI JUNIOR</t>
        </is>
      </c>
      <c r="H25" t="inlineStr">
        <is>
          <t>robertocanallijr@gmail.com</t>
        </is>
      </c>
      <c r="I25" t="inlineStr">
        <is>
          <t>SIM</t>
        </is>
      </c>
      <c r="J25" t="inlineStr">
        <is>
          <t>Contatar o(a) designado(a); se não confirmar, recrutar substituto</t>
        </is>
      </c>
    </row>
    <row r="26">
      <c r="A26" t="n">
        <v>14</v>
      </c>
      <c r="B26" t="n">
        <v>3862</v>
      </c>
      <c r="C26" t="inlineStr">
        <is>
          <t>Baixo</t>
        </is>
      </c>
      <c r="D26" t="inlineStr">
        <is>
          <t>2º Mesário</t>
        </is>
      </c>
      <c r="E26" t="inlineStr">
        <is>
          <t>Desejável</t>
        </is>
      </c>
      <c r="F26" t="inlineStr">
        <is>
          <t>VAGO</t>
        </is>
      </c>
      <c r="G26" t="inlineStr">
        <is>
          <t>—</t>
        </is>
      </c>
      <c r="H26" t="inlineStr">
        <is>
          <t>—</t>
        </is>
      </c>
      <c r="I26" t="inlineStr">
        <is>
          <t>—</t>
        </is>
      </c>
      <c r="J26" t="inlineStr">
        <is>
          <t>Recrutar (função sem designado desde o 1º turno)</t>
        </is>
      </c>
    </row>
    <row r="27">
      <c r="A27" t="n">
        <v>15</v>
      </c>
      <c r="B27" t="n">
        <v>3216</v>
      </c>
      <c r="C27" t="inlineStr">
        <is>
          <t>Baixo</t>
        </is>
      </c>
      <c r="D27" t="inlineStr">
        <is>
          <t>1º Mesário</t>
        </is>
      </c>
      <c r="E27" t="inlineStr">
        <is>
          <t>Desejável</t>
        </is>
      </c>
      <c r="F27" t="inlineStr">
        <is>
          <t>Sem resposta</t>
        </is>
      </c>
      <c r="G27" t="inlineStr">
        <is>
          <t>LILIANE SILVA DE SOUZA</t>
        </is>
      </c>
      <c r="H27" t="inlineStr">
        <is>
          <t>lilianebr.dublin@gmail.com</t>
        </is>
      </c>
      <c r="I27" t="inlineStr">
        <is>
          <t>SIM</t>
        </is>
      </c>
      <c r="J27" t="inlineStr">
        <is>
          <t>Contatar o(a) designado(a); se não confirmar, recrutar substituto</t>
        </is>
      </c>
    </row>
    <row r="28">
      <c r="A28" t="n">
        <v>16</v>
      </c>
      <c r="B28" t="n">
        <v>3309</v>
      </c>
      <c r="C28" t="inlineStr">
        <is>
          <t>Baixo</t>
        </is>
      </c>
      <c r="D28" t="inlineStr">
        <is>
          <t>1º Mesário</t>
        </is>
      </c>
      <c r="E28" t="inlineStr">
        <is>
          <t>Necessária</t>
        </is>
      </c>
      <c r="F28" t="inlineStr">
        <is>
          <t>Não volta</t>
        </is>
      </c>
      <c r="G28" t="inlineStr">
        <is>
          <t>PAULA CIPRO CARVALHO CAMPOS</t>
        </is>
      </c>
      <c r="H28" t="inlineStr">
        <is>
          <t>paulacipro@gmail.com</t>
        </is>
      </c>
      <c r="I28" t="inlineStr">
        <is>
          <t>SIM</t>
        </is>
      </c>
      <c r="J28" t="inlineStr">
        <is>
          <t>Recrutar substituto</t>
        </is>
      </c>
    </row>
    <row r="29">
      <c r="A29" t="n">
        <v>16</v>
      </c>
      <c r="B29" t="n">
        <v>3309</v>
      </c>
      <c r="C29" t="inlineStr">
        <is>
          <t>Baixo</t>
        </is>
      </c>
      <c r="D29" t="inlineStr">
        <is>
          <t>1º Secretário</t>
        </is>
      </c>
      <c r="E29" t="inlineStr">
        <is>
          <t>Desejável</t>
        </is>
      </c>
      <c r="F29" t="inlineStr">
        <is>
          <t>Não volta</t>
        </is>
      </c>
      <c r="G29" t="inlineStr">
        <is>
          <t>SARA SOBRAL DIAS</t>
        </is>
      </c>
      <c r="I29" t="inlineStr">
        <is>
          <t>SIM</t>
        </is>
      </c>
      <c r="J29" t="inlineStr">
        <is>
          <t>Recrutar substituto</t>
        </is>
      </c>
    </row>
    <row r="30">
      <c r="A30" t="n">
        <v>17</v>
      </c>
      <c r="B30" t="n">
        <v>3305</v>
      </c>
      <c r="C30" t="inlineStr">
        <is>
          <t>Baixo</t>
        </is>
      </c>
      <c r="D30" t="inlineStr">
        <is>
          <t>Presidente</t>
        </is>
      </c>
      <c r="E30" t="inlineStr">
        <is>
          <t>Necessária</t>
        </is>
      </c>
      <c r="F30" t="inlineStr">
        <is>
          <t>Sem resposta</t>
        </is>
      </c>
      <c r="G30" t="inlineStr">
        <is>
          <t>SARA RODRIGUES GOMES</t>
        </is>
      </c>
      <c r="H30" t="inlineStr">
        <is>
          <t>sem contato</t>
        </is>
      </c>
      <c r="I30" t="inlineStr">
        <is>
          <t>NAO</t>
        </is>
      </c>
      <c r="J30" t="inlineStr">
        <is>
          <t>Contatar o(a) designado(a); se não confirmar, recrutar substituto</t>
        </is>
      </c>
    </row>
    <row r="31">
      <c r="A31" t="n">
        <v>17</v>
      </c>
      <c r="B31" t="n">
        <v>3305</v>
      </c>
      <c r="C31" t="inlineStr">
        <is>
          <t>Baixo</t>
        </is>
      </c>
      <c r="D31" t="inlineStr">
        <is>
          <t>1º Mesário</t>
        </is>
      </c>
      <c r="E31" t="inlineStr">
        <is>
          <t>Necessária</t>
        </is>
      </c>
      <c r="F31" t="inlineStr">
        <is>
          <t>Sem resposta</t>
        </is>
      </c>
      <c r="G31" t="inlineStr">
        <is>
          <t>MARIA HELENA DE FRANÇA MELLO ALVES</t>
        </is>
      </c>
      <c r="H31" t="inlineStr">
        <is>
          <t xml:space="preserve">353helenafranmalves@gmail.com </t>
        </is>
      </c>
      <c r="I31" t="inlineStr">
        <is>
          <t>SIM</t>
        </is>
      </c>
      <c r="J31" t="inlineStr">
        <is>
          <t>Contatar o(a) designado(a); se não confirmar, recrutar substituto</t>
        </is>
      </c>
    </row>
    <row r="32">
      <c r="A32" t="n">
        <v>17</v>
      </c>
      <c r="B32" t="n">
        <v>3305</v>
      </c>
      <c r="C32" t="inlineStr">
        <is>
          <t>Baixo</t>
        </is>
      </c>
      <c r="D32" t="inlineStr">
        <is>
          <t>1º Secretário</t>
        </is>
      </c>
      <c r="E32" t="inlineStr">
        <is>
          <t>Desejável</t>
        </is>
      </c>
      <c r="F32" t="inlineStr">
        <is>
          <t>Sem resposta</t>
        </is>
      </c>
      <c r="G32" t="inlineStr">
        <is>
          <t>FAGNER DE PAULA ALMEIDA MORAIS</t>
        </is>
      </c>
      <c r="H32" t="inlineStr">
        <is>
          <t>fagneralmeidamorais@gmail.com</t>
        </is>
      </c>
      <c r="I32" t="inlineStr">
        <is>
          <t>SIM</t>
        </is>
      </c>
      <c r="J32" t="inlineStr">
        <is>
          <t>Contatar o(a) designado(a); se não confirmar, recrutar substituto</t>
        </is>
      </c>
    </row>
    <row r="33">
      <c r="A33" t="n">
        <v>18</v>
      </c>
      <c r="B33" t="n">
        <v>3688</v>
      </c>
      <c r="C33" t="inlineStr">
        <is>
          <t>Baixo</t>
        </is>
      </c>
      <c r="D33" t="inlineStr">
        <is>
          <t>Presidente</t>
        </is>
      </c>
      <c r="E33" t="inlineStr">
        <is>
          <t>Necessária</t>
        </is>
      </c>
      <c r="F33" t="inlineStr">
        <is>
          <t>Sem resposta</t>
        </is>
      </c>
      <c r="G33" t="inlineStr">
        <is>
          <t>JULIANA NUNES DE MENDONÇA</t>
        </is>
      </c>
      <c r="H33" t="inlineStr">
        <is>
          <t>juliana.nunes2010@hotmail.com</t>
        </is>
      </c>
      <c r="I33" t="inlineStr">
        <is>
          <t>SIM</t>
        </is>
      </c>
      <c r="J33" t="inlineStr">
        <is>
          <t>Contatar o(a) designado(a); se não confirmar, recrutar substituto</t>
        </is>
      </c>
    </row>
    <row r="34">
      <c r="A34" t="n">
        <v>18</v>
      </c>
      <c r="B34" t="n">
        <v>3688</v>
      </c>
      <c r="C34" t="inlineStr">
        <is>
          <t>Baixo</t>
        </is>
      </c>
      <c r="D34" t="inlineStr">
        <is>
          <t>1º Mesário</t>
        </is>
      </c>
      <c r="E34" t="inlineStr">
        <is>
          <t>Necessária</t>
        </is>
      </c>
      <c r="F34" t="inlineStr">
        <is>
          <t>Não volta</t>
        </is>
      </c>
      <c r="G34" t="inlineStr">
        <is>
          <t>LAURA BEATRIZ VIEIRA SANTOS</t>
        </is>
      </c>
      <c r="H34" t="inlineStr">
        <is>
          <t>laurabvieiras@gmail.com</t>
        </is>
      </c>
      <c r="I34" t="inlineStr">
        <is>
          <t>NAO</t>
        </is>
      </c>
      <c r="J34" t="inlineStr">
        <is>
          <t>Recrutar substituto</t>
        </is>
      </c>
    </row>
    <row r="35">
      <c r="A35" t="n">
        <v>18</v>
      </c>
      <c r="B35" t="n">
        <v>3688</v>
      </c>
      <c r="C35" t="inlineStr">
        <is>
          <t>Baixo</t>
        </is>
      </c>
      <c r="D35" t="inlineStr">
        <is>
          <t>1º Secretário</t>
        </is>
      </c>
      <c r="E35" t="inlineStr">
        <is>
          <t>Desejável</t>
        </is>
      </c>
      <c r="F35" t="inlineStr">
        <is>
          <t>Não volta</t>
        </is>
      </c>
      <c r="G35" t="inlineStr">
        <is>
          <t>LAURO SILVA RAMOS</t>
        </is>
      </c>
      <c r="H35" t="inlineStr">
        <is>
          <t>lauroramos@outlook.com</t>
        </is>
      </c>
      <c r="I35" t="inlineStr">
        <is>
          <t>SIM</t>
        </is>
      </c>
      <c r="J35" t="inlineStr">
        <is>
          <t>Recrutar substituto</t>
        </is>
      </c>
    </row>
    <row r="36">
      <c r="A36" t="n">
        <v>19</v>
      </c>
      <c r="B36" t="n">
        <v>3078</v>
      </c>
      <c r="C36" t="inlineStr">
        <is>
          <t>Baixo</t>
        </is>
      </c>
      <c r="D36" t="inlineStr">
        <is>
          <t>Presidente</t>
        </is>
      </c>
      <c r="E36" t="inlineStr">
        <is>
          <t>Necessária</t>
        </is>
      </c>
      <c r="F36" t="inlineStr">
        <is>
          <t>Sem resposta</t>
        </is>
      </c>
      <c r="G36" t="inlineStr">
        <is>
          <t>TULIO CARLOS DE MOURA NEVES</t>
        </is>
      </c>
      <c r="H36" t="inlineStr">
        <is>
          <t>tulio.neves@itamaraty.gov.br</t>
        </is>
      </c>
      <c r="I36" t="inlineStr">
        <is>
          <t>SIM</t>
        </is>
      </c>
      <c r="J36" t="inlineStr">
        <is>
          <t>Contatar o(a) designado(a); se não confirmar, recrutar substituto</t>
        </is>
      </c>
    </row>
    <row r="37">
      <c r="A37" t="n">
        <v>19</v>
      </c>
      <c r="B37" t="n">
        <v>3078</v>
      </c>
      <c r="C37" t="inlineStr">
        <is>
          <t>Baixo</t>
        </is>
      </c>
      <c r="D37" t="inlineStr">
        <is>
          <t>1º Secretário</t>
        </is>
      </c>
      <c r="E37" t="inlineStr">
        <is>
          <t>Desejável</t>
        </is>
      </c>
      <c r="F37" t="inlineStr">
        <is>
          <t>Sem resposta</t>
        </is>
      </c>
      <c r="G37" t="inlineStr">
        <is>
          <t>MATHEUS PASSOS MENDES</t>
        </is>
      </c>
      <c r="H37" t="inlineStr">
        <is>
          <t>passos.matheus@gmail.com</t>
        </is>
      </c>
      <c r="I37" t="inlineStr">
        <is>
          <t>SIM</t>
        </is>
      </c>
      <c r="J37" t="inlineStr">
        <is>
          <t>Contatar o(a) designado(a); se não confirmar, recrutar substituto</t>
        </is>
      </c>
    </row>
    <row r="38">
      <c r="A38" t="n">
        <v>20</v>
      </c>
      <c r="B38" t="n">
        <v>3054</v>
      </c>
      <c r="C38" t="inlineStr">
        <is>
          <t>Baixo</t>
        </is>
      </c>
      <c r="D38" t="inlineStr">
        <is>
          <t>Presidente</t>
        </is>
      </c>
      <c r="E38" t="inlineStr">
        <is>
          <t>Necessária</t>
        </is>
      </c>
      <c r="F38" t="inlineStr">
        <is>
          <t>Sem resposta</t>
        </is>
      </c>
      <c r="G38" t="inlineStr">
        <is>
          <t>FABIOLA CRISTIANE DA SILVA MALTA</t>
        </is>
      </c>
      <c r="H38" t="inlineStr">
        <is>
          <t>fabiola.malta@itamaraty.gov.br</t>
        </is>
      </c>
      <c r="I38" t="inlineStr">
        <is>
          <t>SIM</t>
        </is>
      </c>
      <c r="J38" t="inlineStr">
        <is>
          <t>Contatar o(a) designado(a); se não confirmar, recrutar substituto</t>
        </is>
      </c>
    </row>
    <row r="39">
      <c r="A39" t="n">
        <v>20</v>
      </c>
      <c r="B39" t="n">
        <v>3054</v>
      </c>
      <c r="C39" t="inlineStr">
        <is>
          <t>Baixo</t>
        </is>
      </c>
      <c r="D39" t="inlineStr">
        <is>
          <t>1º Mesário</t>
        </is>
      </c>
      <c r="E39" t="inlineStr">
        <is>
          <t>Necessária</t>
        </is>
      </c>
      <c r="F39" t="inlineStr">
        <is>
          <t>Não volta</t>
        </is>
      </c>
      <c r="G39" t="inlineStr">
        <is>
          <t>WELLINGTON DOS SANTOS</t>
        </is>
      </c>
      <c r="H39" t="inlineStr">
        <is>
          <t>wellingtons24.santos@gmail.com</t>
        </is>
      </c>
      <c r="I39" t="inlineStr">
        <is>
          <t>SIM</t>
        </is>
      </c>
      <c r="J39" t="inlineStr">
        <is>
          <t>Recrutar substituto</t>
        </is>
      </c>
    </row>
    <row r="40">
      <c r="A40" t="n">
        <v>20</v>
      </c>
      <c r="B40" t="n">
        <v>3054</v>
      </c>
      <c r="C40" t="inlineStr">
        <is>
          <t>Baixo</t>
        </is>
      </c>
      <c r="D40" t="inlineStr">
        <is>
          <t>1º Secretário</t>
        </is>
      </c>
      <c r="E40" t="inlineStr">
        <is>
          <t>Necessária</t>
        </is>
      </c>
      <c r="F40" t="inlineStr">
        <is>
          <t>Sem resposta</t>
        </is>
      </c>
      <c r="G40" t="inlineStr">
        <is>
          <t>GABRIEL SOARES DE CARVALHO</t>
        </is>
      </c>
      <c r="H40" t="inlineStr">
        <is>
          <t>gabrielsoares2111@gmail.com</t>
        </is>
      </c>
      <c r="I40" t="inlineStr">
        <is>
          <t>SIM</t>
        </is>
      </c>
      <c r="J40" t="inlineStr">
        <is>
          <t>Contatar o(a) designado(a); se não confirmar, recrutar substituto</t>
        </is>
      </c>
    </row>
    <row r="41">
      <c r="A41" t="n">
        <v>20</v>
      </c>
      <c r="B41" t="n">
        <v>3054</v>
      </c>
      <c r="C41" t="inlineStr">
        <is>
          <t>Baixo</t>
        </is>
      </c>
      <c r="D41" t="inlineStr">
        <is>
          <t>2º Mesário</t>
        </is>
      </c>
      <c r="E41" t="inlineStr">
        <is>
          <t>Desejável</t>
        </is>
      </c>
      <c r="F41" t="inlineStr">
        <is>
          <t>Sem resposta</t>
        </is>
      </c>
      <c r="G41" t="inlineStr">
        <is>
          <t>EDINEIA DE ALMEIDA GOMES</t>
        </is>
      </c>
      <c r="H41" t="inlineStr">
        <is>
          <t>almeidaedi@gmail.com</t>
        </is>
      </c>
      <c r="I41" t="inlineStr">
        <is>
          <t>NAO</t>
        </is>
      </c>
      <c r="J41" t="inlineStr">
        <is>
          <t>Contatar o(a) designado(a); se não confirmar, recrutar substituto</t>
        </is>
      </c>
    </row>
    <row r="42">
      <c r="A42" t="n">
        <v>21</v>
      </c>
      <c r="B42" t="n">
        <v>1160</v>
      </c>
      <c r="C42" t="inlineStr">
        <is>
          <t>Baixo</t>
        </is>
      </c>
      <c r="D42" t="inlineStr">
        <is>
          <t>Presidente</t>
        </is>
      </c>
      <c r="E42" t="inlineStr">
        <is>
          <t>Necessária</t>
        </is>
      </c>
      <c r="F42" t="inlineStr">
        <is>
          <t>Sem resposta</t>
        </is>
      </c>
      <c r="G42" t="inlineStr">
        <is>
          <t>PAMELA NASCIMENTO DA SILVA</t>
        </is>
      </c>
      <c r="H42" t="inlineStr">
        <is>
          <t>pamela.silva@itamaraty.gov.br</t>
        </is>
      </c>
      <c r="I42" t="inlineStr">
        <is>
          <t>SIM</t>
        </is>
      </c>
      <c r="J42" t="inlineStr">
        <is>
          <t>Contatar o(a) designado(a); se não confirmar, recrutar substituto</t>
        </is>
      </c>
    </row>
    <row r="43">
      <c r="A43" t="n">
        <v>21</v>
      </c>
      <c r="B43" t="n">
        <v>1160</v>
      </c>
      <c r="C43" t="inlineStr">
        <is>
          <t>Baixo</t>
        </is>
      </c>
      <c r="D43" t="inlineStr">
        <is>
          <t>1º Mesário</t>
        </is>
      </c>
      <c r="E43" t="inlineStr">
        <is>
          <t>Necessária</t>
        </is>
      </c>
      <c r="F43" t="inlineStr">
        <is>
          <t>Sem resposta</t>
        </is>
      </c>
      <c r="G43" t="inlineStr">
        <is>
          <t>ARTHUR GRIZ FERREIRA</t>
        </is>
      </c>
      <c r="H43" t="inlineStr">
        <is>
          <t>arthurgf96@gmail.com</t>
        </is>
      </c>
      <c r="I43" t="inlineStr">
        <is>
          <t>SIM</t>
        </is>
      </c>
      <c r="J43" t="inlineStr">
        <is>
          <t>Contatar o(a) designado(a); se não confirmar, recrutar substituto</t>
        </is>
      </c>
    </row>
    <row r="44">
      <c r="A44" t="n">
        <v>21</v>
      </c>
      <c r="B44" t="n">
        <v>1160</v>
      </c>
      <c r="C44" t="inlineStr">
        <is>
          <t>Baixo</t>
        </is>
      </c>
      <c r="D44" t="inlineStr">
        <is>
          <t>2º Mesário</t>
        </is>
      </c>
      <c r="E44" t="inlineStr">
        <is>
          <t>Desejável</t>
        </is>
      </c>
      <c r="F44" t="inlineStr">
        <is>
          <t>Não volta</t>
        </is>
      </c>
      <c r="G44" t="inlineStr">
        <is>
          <t>CRISLAINE DE SOUZA ALMEIDA</t>
        </is>
      </c>
      <c r="H44" t="inlineStr">
        <is>
          <t>crislainedealmeida@hotmail.com</t>
        </is>
      </c>
      <c r="I44" t="inlineStr">
        <is>
          <t>SIM</t>
        </is>
      </c>
      <c r="J44" t="inlineStr">
        <is>
          <t>Recrutar substituto</t>
        </is>
      </c>
    </row>
    <row r="45">
      <c r="A45" t="n">
        <v>22</v>
      </c>
      <c r="B45" t="n">
        <v>511</v>
      </c>
      <c r="C45" t="inlineStr">
        <is>
          <t>Baixo</t>
        </is>
      </c>
      <c r="D45" t="inlineStr">
        <is>
          <t>Presidente</t>
        </is>
      </c>
      <c r="E45" t="inlineStr">
        <is>
          <t>Necessária</t>
        </is>
      </c>
      <c r="F45" t="inlineStr">
        <is>
          <t>Sem resposta</t>
        </is>
      </c>
      <c r="G45" t="inlineStr">
        <is>
          <t>FELIPE PEREIRA DE SOUZA GUSTAVO</t>
        </is>
      </c>
      <c r="H45" t="inlineStr">
        <is>
          <t>Felipegustavo.ie@outlook.com</t>
        </is>
      </c>
      <c r="I45" t="inlineStr">
        <is>
          <t>SIM</t>
        </is>
      </c>
      <c r="J45" t="inlineStr">
        <is>
          <t>Contatar o(a) designado(a); se não confirmar, recrutar substituto</t>
        </is>
      </c>
    </row>
    <row r="46">
      <c r="A46" t="n">
        <v>22</v>
      </c>
      <c r="B46" t="n">
        <v>511</v>
      </c>
      <c r="C46" t="inlineStr">
        <is>
          <t>Baixo</t>
        </is>
      </c>
      <c r="D46" t="inlineStr">
        <is>
          <t>1º Mesário</t>
        </is>
      </c>
      <c r="E46" t="inlineStr">
        <is>
          <t>Necessária</t>
        </is>
      </c>
      <c r="F46" t="inlineStr">
        <is>
          <t>Sem resposta</t>
        </is>
      </c>
      <c r="G46" t="inlineStr">
        <is>
          <t>ERIC DA SILVA MEDEIROS</t>
        </is>
      </c>
      <c r="H46" t="inlineStr">
        <is>
          <t>Ericcount19@hotmail.com</t>
        </is>
      </c>
      <c r="I46" t="inlineStr">
        <is>
          <t>SIM</t>
        </is>
      </c>
      <c r="J46" t="inlineStr">
        <is>
          <t>Contatar o(a) designado(a); se não confirmar, recrutar substituto</t>
        </is>
      </c>
    </row>
    <row r="47">
      <c r="A47" t="n">
        <v>22</v>
      </c>
      <c r="B47" t="n">
        <v>511</v>
      </c>
      <c r="C47" t="inlineStr">
        <is>
          <t>Baixo</t>
        </is>
      </c>
      <c r="D47" t="inlineStr">
        <is>
          <t>2º Mesário</t>
        </is>
      </c>
      <c r="E47" t="inlineStr">
        <is>
          <t>Desejável</t>
        </is>
      </c>
      <c r="F47" t="inlineStr">
        <is>
          <t>Sem resposta</t>
        </is>
      </c>
      <c r="G47" t="inlineStr">
        <is>
          <t>LUDMILA MAIA MACIEL</t>
        </is>
      </c>
      <c r="H47" t="inlineStr">
        <is>
          <t>ludmilamaiamaciel@gmail.com</t>
        </is>
      </c>
      <c r="I47" t="inlineStr">
        <is>
          <t>SIM</t>
        </is>
      </c>
      <c r="J47" t="inlineStr">
        <is>
          <t>Contatar o(a) designado(a); se não confirmar, recrutar substituto</t>
        </is>
      </c>
    </row>
    <row r="48">
      <c r="A48" t="n">
        <v>24</v>
      </c>
      <c r="B48" t="n">
        <v>512</v>
      </c>
      <c r="C48" t="inlineStr">
        <is>
          <t>Baixo</t>
        </is>
      </c>
      <c r="D48" t="inlineStr">
        <is>
          <t>Presidente</t>
        </is>
      </c>
      <c r="E48" t="inlineStr">
        <is>
          <t>Necessária</t>
        </is>
      </c>
      <c r="F48" t="inlineStr">
        <is>
          <t>Sem resposta</t>
        </is>
      </c>
      <c r="G48" t="inlineStr">
        <is>
          <t>ANA CLAUDIA MAZUROK</t>
        </is>
      </c>
      <c r="H48" t="inlineStr">
        <is>
          <t>anaclaudiamazurok@gmail.com</t>
        </is>
      </c>
      <c r="I48" t="inlineStr">
        <is>
          <t>NAO</t>
        </is>
      </c>
      <c r="J48" t="inlineStr">
        <is>
          <t>Contatar o(a) designado(a); se não confirmar, recrutar substituto</t>
        </is>
      </c>
    </row>
    <row r="49">
      <c r="A49" t="n">
        <v>24</v>
      </c>
      <c r="B49" t="n">
        <v>512</v>
      </c>
      <c r="C49" t="inlineStr">
        <is>
          <t>Baixo</t>
        </is>
      </c>
      <c r="D49" t="inlineStr">
        <is>
          <t>1º Secretário</t>
        </is>
      </c>
      <c r="E49" t="inlineStr">
        <is>
          <t>Desejável</t>
        </is>
      </c>
      <c r="F49" t="inlineStr">
        <is>
          <t>Sem resposta</t>
        </is>
      </c>
      <c r="G49" t="inlineStr">
        <is>
          <t>THAISA BERNARDES BUENO FELIX</t>
        </is>
      </c>
      <c r="H49" t="inlineStr">
        <is>
          <t>tbbfelix@gmail.com</t>
        </is>
      </c>
      <c r="I49" t="inlineStr">
        <is>
          <t>NAO</t>
        </is>
      </c>
      <c r="J49" t="inlineStr">
        <is>
          <t>Contatar o(a) designado(a); se não confirmar, recrutar substituto</t>
        </is>
      </c>
    </row>
    <row r="50">
      <c r="A50" t="n">
        <v>25</v>
      </c>
      <c r="B50" t="n">
        <v>3308</v>
      </c>
      <c r="C50" t="inlineStr">
        <is>
          <t>Baixo</t>
        </is>
      </c>
      <c r="D50" t="inlineStr">
        <is>
          <t>Presidente</t>
        </is>
      </c>
      <c r="E50" t="inlineStr">
        <is>
          <t>Necessária</t>
        </is>
      </c>
      <c r="F50" t="inlineStr">
        <is>
          <t>Sem resposta</t>
        </is>
      </c>
      <c r="G50" t="inlineStr">
        <is>
          <t>KAIQUE AQUINO OLIVEIRA</t>
        </is>
      </c>
      <c r="H50" t="inlineStr">
        <is>
          <t>kaique.aquino.oliveira@esb.ie</t>
        </is>
      </c>
      <c r="I50" t="inlineStr">
        <is>
          <t>NAO</t>
        </is>
      </c>
      <c r="J50" t="inlineStr">
        <is>
          <t>Contatar o(a) designado(a); se não confirmar, recrutar substituto</t>
        </is>
      </c>
    </row>
    <row r="51">
      <c r="A51" t="n">
        <v>25</v>
      </c>
      <c r="B51" t="n">
        <v>3308</v>
      </c>
      <c r="C51" t="inlineStr">
        <is>
          <t>Baixo</t>
        </is>
      </c>
      <c r="D51" t="inlineStr">
        <is>
          <t>2º Mesário</t>
        </is>
      </c>
      <c r="E51" t="inlineStr">
        <is>
          <t>Desejável</t>
        </is>
      </c>
      <c r="F51" t="inlineStr">
        <is>
          <t>Sem resposta</t>
        </is>
      </c>
      <c r="G51" t="inlineStr">
        <is>
          <t>LOUISE ANDRIELLE PRANDI</t>
        </is>
      </c>
      <c r="H51" t="inlineStr">
        <is>
          <t>louiseandrielleprandi@gmail.com</t>
        </is>
      </c>
      <c r="I51" t="inlineStr">
        <is>
          <t>SIM</t>
        </is>
      </c>
      <c r="J51" t="inlineStr">
        <is>
          <t>Contatar o(a) designado(a); se não confirmar, recrutar substituto</t>
        </is>
      </c>
    </row>
    <row r="52">
      <c r="A52" t="n">
        <v>26</v>
      </c>
      <c r="B52" t="n">
        <v>1352</v>
      </c>
      <c r="C52" t="inlineStr">
        <is>
          <t>Baixo</t>
        </is>
      </c>
      <c r="D52" t="inlineStr">
        <is>
          <t>Presidente</t>
        </is>
      </c>
      <c r="E52" t="inlineStr">
        <is>
          <t>Necessária</t>
        </is>
      </c>
      <c r="F52" t="inlineStr">
        <is>
          <t>Sem resposta</t>
        </is>
      </c>
      <c r="G52" t="inlineStr">
        <is>
          <t>NAYARA GIROTO MENDES</t>
        </is>
      </c>
      <c r="H52" t="inlineStr">
        <is>
          <t>nayara.mendes@itamaraty.gov.br</t>
        </is>
      </c>
      <c r="I52" t="inlineStr">
        <is>
          <t>SIM</t>
        </is>
      </c>
      <c r="J52" t="inlineStr">
        <is>
          <t>Contatar o(a) designado(a); se não confirmar, recrutar substituto</t>
        </is>
      </c>
    </row>
    <row r="53">
      <c r="A53" t="n">
        <v>26</v>
      </c>
      <c r="B53" t="n">
        <v>1352</v>
      </c>
      <c r="C53" t="inlineStr">
        <is>
          <t>Baixo</t>
        </is>
      </c>
      <c r="D53" t="inlineStr">
        <is>
          <t>1º Secretário</t>
        </is>
      </c>
      <c r="E53" t="inlineStr">
        <is>
          <t>Desejável</t>
        </is>
      </c>
      <c r="F53" t="inlineStr">
        <is>
          <t>Não volta</t>
        </is>
      </c>
      <c r="G53" t="inlineStr">
        <is>
          <t>DENER AUGUSTO SALES MACHADO</t>
        </is>
      </c>
      <c r="H53" t="inlineStr">
        <is>
          <t>dener.asm@gmail.com</t>
        </is>
      </c>
      <c r="I53" t="inlineStr">
        <is>
          <t>SIM</t>
        </is>
      </c>
      <c r="J53" t="inlineStr">
        <is>
          <t>Recrutar substituto</t>
        </is>
      </c>
    </row>
    <row r="54">
      <c r="A54" t="n">
        <v>27</v>
      </c>
      <c r="B54" t="n">
        <v>513</v>
      </c>
      <c r="C54" t="inlineStr">
        <is>
          <t>Baixo</t>
        </is>
      </c>
      <c r="D54" t="inlineStr">
        <is>
          <t>Presidente</t>
        </is>
      </c>
      <c r="E54" t="inlineStr">
        <is>
          <t>Necessária</t>
        </is>
      </c>
      <c r="F54" t="inlineStr">
        <is>
          <t>Sem resposta</t>
        </is>
      </c>
      <c r="G54" t="inlineStr">
        <is>
          <t>BIANCA ARAGONE RODRIGUES GOULART</t>
        </is>
      </c>
      <c r="H54" t="inlineStr">
        <is>
          <t>bianca.goulart@itamaraty.gov.br</t>
        </is>
      </c>
      <c r="I54" t="inlineStr">
        <is>
          <t>NAO</t>
        </is>
      </c>
      <c r="J54" t="inlineStr">
        <is>
          <t>Contatar o(a) designado(a); se não confirmar, recrutar substituto</t>
        </is>
      </c>
    </row>
    <row r="55">
      <c r="A55" t="n">
        <v>27</v>
      </c>
      <c r="B55" t="n">
        <v>513</v>
      </c>
      <c r="C55" t="inlineStr">
        <is>
          <t>Baixo</t>
        </is>
      </c>
      <c r="D55" t="inlineStr">
        <is>
          <t>1º Secretário</t>
        </is>
      </c>
      <c r="E55" t="inlineStr">
        <is>
          <t>Necessária</t>
        </is>
      </c>
      <c r="F55" t="inlineStr">
        <is>
          <t>Sem resposta</t>
        </is>
      </c>
      <c r="G55" t="inlineStr">
        <is>
          <t>ALINE BARROS DE LIRA</t>
        </is>
      </c>
      <c r="H55" t="inlineStr">
        <is>
          <t>aline.barros@outlook.com</t>
        </is>
      </c>
      <c r="I55" t="inlineStr">
        <is>
          <t>NAO</t>
        </is>
      </c>
      <c r="J55" t="inlineStr">
        <is>
          <t>Contatar o(a) designado(a); se não confirmar, recrutar substituto</t>
        </is>
      </c>
    </row>
    <row r="56">
      <c r="A56" t="n">
        <v>27</v>
      </c>
      <c r="B56" t="n">
        <v>513</v>
      </c>
      <c r="C56" t="inlineStr">
        <is>
          <t>Baixo</t>
        </is>
      </c>
      <c r="D56" t="inlineStr">
        <is>
          <t>2º Mesário</t>
        </is>
      </c>
      <c r="E56" t="inlineStr">
        <is>
          <t>Desejável</t>
        </is>
      </c>
      <c r="F56" t="inlineStr">
        <is>
          <t>Sem resposta</t>
        </is>
      </c>
      <c r="G56" t="inlineStr">
        <is>
          <t>ISABELA FERNANDES BATTISTI PETRIS</t>
        </is>
      </c>
      <c r="H56" t="inlineStr">
        <is>
          <t>isabelabattisti@gmail.com</t>
        </is>
      </c>
      <c r="I56" t="inlineStr">
        <is>
          <t>SIM</t>
        </is>
      </c>
      <c r="J56" t="inlineStr">
        <is>
          <t>Contatar o(a) designado(a); se não confirmar, recrutar substituto</t>
        </is>
      </c>
    </row>
    <row r="57">
      <c r="A57" t="n">
        <v>28</v>
      </c>
      <c r="B57" t="n">
        <v>3442</v>
      </c>
      <c r="C57" t="inlineStr">
        <is>
          <t>Baixo</t>
        </is>
      </c>
      <c r="D57" t="inlineStr">
        <is>
          <t>1º Mesário</t>
        </is>
      </c>
      <c r="E57" t="inlineStr">
        <is>
          <t>Necessária</t>
        </is>
      </c>
      <c r="F57" t="inlineStr">
        <is>
          <t>Sem resposta</t>
        </is>
      </c>
      <c r="G57" t="inlineStr">
        <is>
          <t>GUSTAVO DAVID LOPES</t>
        </is>
      </c>
      <c r="H57" t="inlineStr">
        <is>
          <t>tstrhgt@gmail.com</t>
        </is>
      </c>
      <c r="I57" t="inlineStr">
        <is>
          <t>NAO</t>
        </is>
      </c>
      <c r="J57" t="inlineStr">
        <is>
          <t>Contatar o(a) designado(a); se não confirmar, recrutar substituto</t>
        </is>
      </c>
    </row>
    <row r="58">
      <c r="A58" t="n">
        <v>28</v>
      </c>
      <c r="B58" t="n">
        <v>3442</v>
      </c>
      <c r="C58" t="inlineStr">
        <is>
          <t>Baixo</t>
        </is>
      </c>
      <c r="D58" t="inlineStr">
        <is>
          <t>2º Mesário</t>
        </is>
      </c>
      <c r="E58" t="inlineStr">
        <is>
          <t>Desejável</t>
        </is>
      </c>
      <c r="F58" t="inlineStr">
        <is>
          <t>Sem resposta</t>
        </is>
      </c>
      <c r="G58" t="inlineStr">
        <is>
          <t>TIFANY AZUMA TROMBINO XANDÚ</t>
        </is>
      </c>
      <c r="H58" t="inlineStr">
        <is>
          <t>tifanyazuma@outlook.com</t>
        </is>
      </c>
      <c r="I58" t="inlineStr">
        <is>
          <t>NAO</t>
        </is>
      </c>
      <c r="J58" t="inlineStr">
        <is>
          <t>Contatar o(a) designado(a); se não confirmar, recrutar substituto</t>
        </is>
      </c>
    </row>
    <row r="60" ht="45" customHeight="1">
      <c r="A60" s="46" t="inlineStr">
        <is>
          <t>Retrato de 12/10/2026, gerado por scripts/mesarios_2turno.py — não se atualiza sozinho (a aba 'Vagas por urna' sim). Prioridade: em cada urna, as funções abertas que faltam para a meta (4 nas Alto/Médio, 3 nas Baixo) são 'Necessária', na ordem Presidente &gt; 1º Mesário &gt; 1º Secretário &gt; 2º Mesário (premissa); as demais, 'Desejável'.</t>
        </is>
      </c>
    </row>
  </sheetData>
  <autoFilter ref="A1:J58"/>
  <mergeCells count="1">
    <mergeCell ref="A60:J60"/>
  </mergeCells>
  <conditionalFormatting sqref="F2:F58">
    <cfRule type="expression" priority="1" dxfId="28">
      <formula>F2="Confirmado"</formula>
    </cfRule>
    <cfRule type="expression" priority="2" dxfId="29">
      <formula>F2="Sem resposta"</formula>
    </cfRule>
    <cfRule type="expression" priority="3" dxfId="30">
      <formula>F2="Não volta"</formula>
    </cfRule>
    <cfRule type="expression" priority="4" dxfId="31">
      <formula>F2="VAGO"</formula>
    </cfRule>
  </conditionalFormatting>
  <conditionalFormatting sqref="A2:C58">
    <cfRule type="expression" priority="5" dxfId="32">
      <formula>$C2="Alto"</formula>
    </cfRule>
    <cfRule type="expression" priority="6" dxfId="33">
      <formula>$C2="Médio"</formula>
    </cfRule>
    <cfRule type="expression" priority="7" dxfId="34">
      <formula>$C2="Baixo"</formula>
    </cfRule>
  </conditionalFormatting>
  <conditionalFormatting sqref="E2:E58">
    <cfRule type="expression" priority="8" dxfId="35">
      <formula>$E2="Necessária"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5"/>
  <sheetViews>
    <sheetView tabSelected="0"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7" customWidth="1" min="2" max="2"/>
    <col width="36" customWidth="1" min="3" max="3"/>
    <col width="10" customWidth="1" min="4" max="4"/>
    <col width="18" customWidth="1" min="5" max="5"/>
    <col width="38" customWidth="1" min="6" max="6"/>
    <col width="8" customWidth="1" min="7" max="7"/>
    <col width="14" customWidth="1" min="8" max="8"/>
    <col width="11" customWidth="1" min="9" max="9"/>
    <col width="11" customWidth="1" min="10" max="10"/>
    <col width="52" customWidth="1" min="11" max="11"/>
  </cols>
  <sheetData>
    <row r="1" ht="32" customHeight="1">
      <c r="A1" s="43" t="inlineStr">
        <is>
          <t>ID</t>
        </is>
      </c>
      <c r="B1" s="43" t="inlineStr">
        <is>
          <t>Conclusão</t>
        </is>
      </c>
      <c r="C1" s="43" t="inlineStr">
        <is>
          <t>Nome informado</t>
        </is>
      </c>
      <c r="D1" s="43" t="inlineStr">
        <is>
          <t>Resposta</t>
        </is>
      </c>
      <c r="E1" s="43" t="inlineStr">
        <is>
          <t>Casamento</t>
        </is>
      </c>
      <c r="F1" s="43" t="inlineStr">
        <is>
          <t>Designado(a) correspondente</t>
        </is>
      </c>
      <c r="G1" s="43" t="inlineStr">
        <is>
          <t>Seção</t>
        </is>
      </c>
      <c r="H1" s="43" t="inlineStr">
        <is>
          <t>Função</t>
        </is>
      </c>
      <c r="I1" s="43" t="inlineStr">
        <is>
          <t>Presença 1º turno</t>
        </is>
      </c>
      <c r="J1" s="43" t="inlineStr">
        <is>
          <t>Considerada</t>
        </is>
      </c>
      <c r="K1" s="43" t="inlineStr">
        <is>
          <t>Observação</t>
        </is>
      </c>
    </row>
    <row r="2">
      <c r="A2" t="n">
        <v>1</v>
      </c>
      <c r="B2" s="47" t="n">
        <v>46301.61293981481</v>
      </c>
      <c r="C2" t="inlineStr">
        <is>
          <t>Daniela Carette</t>
        </is>
      </c>
      <c r="D2" t="inlineStr">
        <is>
          <t>SIM</t>
        </is>
      </c>
      <c r="E2" t="inlineStr">
        <is>
          <t>equivalência</t>
        </is>
      </c>
      <c r="F2" t="inlineStr">
        <is>
          <t>DANIELA LIMA DE MELO CARETTE</t>
        </is>
      </c>
      <c r="G2" t="n">
        <v>3078</v>
      </c>
      <c r="H2" t="inlineStr">
        <is>
          <t>2º Mesário</t>
        </is>
      </c>
      <c r="I2" t="inlineStr">
        <is>
          <t>SIM</t>
        </is>
      </c>
      <c r="J2" t="inlineStr">
        <is>
          <t>Sim</t>
        </is>
      </c>
    </row>
    <row r="3">
      <c r="A3" t="n">
        <v>2</v>
      </c>
      <c r="B3" s="47" t="n">
        <v>46301.61297453703</v>
      </c>
      <c r="C3" t="inlineStr">
        <is>
          <t>Jessica de Oliveira</t>
        </is>
      </c>
      <c r="D3" t="inlineStr">
        <is>
          <t>SIM</t>
        </is>
      </c>
      <c r="E3" t="inlineStr">
        <is>
          <t>exato</t>
        </is>
      </c>
      <c r="F3" t="inlineStr">
        <is>
          <t>JESSICA DE OLIVEIRA</t>
        </is>
      </c>
      <c r="G3" t="n">
        <v>1352</v>
      </c>
      <c r="H3" t="inlineStr">
        <is>
          <t>1º Mesário</t>
        </is>
      </c>
      <c r="I3" t="inlineStr">
        <is>
          <t>SIM</t>
        </is>
      </c>
      <c r="J3" t="inlineStr">
        <is>
          <t>Sim</t>
        </is>
      </c>
    </row>
    <row r="4">
      <c r="A4" t="n">
        <v>3</v>
      </c>
      <c r="B4" s="47" t="n">
        <v>46301.61297453703</v>
      </c>
      <c r="C4" t="inlineStr">
        <is>
          <t>Michael da costa muniz</t>
        </is>
      </c>
      <c r="D4" t="inlineStr">
        <is>
          <t>SIM</t>
        </is>
      </c>
      <c r="E4" t="inlineStr">
        <is>
          <t>exato</t>
        </is>
      </c>
      <c r="F4" t="inlineStr">
        <is>
          <t>MICHAEL DA COSTA MUNIZ</t>
        </is>
      </c>
      <c r="G4" t="n">
        <v>3306</v>
      </c>
      <c r="H4" t="inlineStr">
        <is>
          <t>2º Mesário</t>
        </is>
      </c>
      <c r="I4" t="inlineStr">
        <is>
          <t>SIM</t>
        </is>
      </c>
      <c r="J4" t="inlineStr">
        <is>
          <t>Sim</t>
        </is>
      </c>
    </row>
    <row r="5">
      <c r="A5" t="n">
        <v>4</v>
      </c>
      <c r="B5" s="47" t="n">
        <v>46301.6130787037</v>
      </c>
      <c r="C5" t="inlineStr">
        <is>
          <t>Renan Willian da Costa</t>
        </is>
      </c>
      <c r="D5" t="inlineStr">
        <is>
          <t>SIM</t>
        </is>
      </c>
      <c r="E5" t="inlineStr">
        <is>
          <t>exato</t>
        </is>
      </c>
      <c r="F5" t="inlineStr">
        <is>
          <t>RENAN WILLIAN DA COSTA</t>
        </is>
      </c>
      <c r="G5" t="n">
        <v>3302</v>
      </c>
      <c r="H5" t="inlineStr">
        <is>
          <t>2º Mesário</t>
        </is>
      </c>
      <c r="I5" t="inlineStr">
        <is>
          <t>SIM</t>
        </is>
      </c>
      <c r="J5" t="inlineStr">
        <is>
          <t>Sim</t>
        </is>
      </c>
    </row>
    <row r="6">
      <c r="A6" t="n">
        <v>5</v>
      </c>
      <c r="B6" s="47" t="n">
        <v>46301.61384259259</v>
      </c>
      <c r="C6" t="inlineStr">
        <is>
          <t>Ediones Diniz</t>
        </is>
      </c>
      <c r="D6" t="inlineStr">
        <is>
          <t>SIM</t>
        </is>
      </c>
      <c r="E6" t="inlineStr">
        <is>
          <t>equivalência</t>
        </is>
      </c>
      <c r="F6" t="inlineStr">
        <is>
          <t>EDIONES DINIZ SAVARIS</t>
        </is>
      </c>
      <c r="G6" t="n">
        <v>3229</v>
      </c>
      <c r="H6" t="inlineStr">
        <is>
          <t>Presidente</t>
        </is>
      </c>
      <c r="I6" t="inlineStr">
        <is>
          <t>SIM</t>
        </is>
      </c>
      <c r="J6" t="inlineStr">
        <is>
          <t>Sim</t>
        </is>
      </c>
    </row>
    <row r="7">
      <c r="A7" t="n">
        <v>6</v>
      </c>
      <c r="B7" s="47" t="n">
        <v>46301.61452546297</v>
      </c>
      <c r="C7" t="inlineStr">
        <is>
          <t>Rogetio Goes</t>
        </is>
      </c>
      <c r="D7" t="inlineStr">
        <is>
          <t>SIM</t>
        </is>
      </c>
      <c r="E7" t="inlineStr">
        <is>
          <t>equivalência</t>
        </is>
      </c>
      <c r="F7" t="inlineStr">
        <is>
          <t>ROGERIO LINHARES GOES</t>
        </is>
      </c>
      <c r="G7" t="n">
        <v>3309</v>
      </c>
      <c r="H7" t="inlineStr">
        <is>
          <t>Presidente</t>
        </is>
      </c>
      <c r="I7" t="inlineStr">
        <is>
          <t>SIM</t>
        </is>
      </c>
      <c r="J7" t="inlineStr">
        <is>
          <t>Sim</t>
        </is>
      </c>
    </row>
    <row r="8">
      <c r="A8" t="n">
        <v>7</v>
      </c>
      <c r="B8" s="47" t="n">
        <v>46301.61560185185</v>
      </c>
      <c r="C8" t="inlineStr">
        <is>
          <t>Maria Lucia Morgante de Miranda</t>
        </is>
      </c>
      <c r="D8" t="inlineStr">
        <is>
          <t>SIM</t>
        </is>
      </c>
      <c r="E8" t="inlineStr">
        <is>
          <t>exato</t>
        </is>
      </c>
      <c r="F8" t="inlineStr">
        <is>
          <t>MARIA LUCIA MORGANTE DE MIRANDA</t>
        </is>
      </c>
      <c r="G8" t="n">
        <v>3302</v>
      </c>
      <c r="H8" t="inlineStr">
        <is>
          <t>Presidente</t>
        </is>
      </c>
      <c r="I8" t="inlineStr">
        <is>
          <t>SIM</t>
        </is>
      </c>
      <c r="J8" t="inlineStr">
        <is>
          <t>Sim</t>
        </is>
      </c>
    </row>
    <row r="9">
      <c r="A9" t="n">
        <v>8</v>
      </c>
      <c r="B9" s="47" t="n">
        <v>46301.61741898148</v>
      </c>
      <c r="C9" t="inlineStr">
        <is>
          <t>Flavia Nascimento de Souza</t>
        </is>
      </c>
      <c r="D9" t="inlineStr">
        <is>
          <t>SIM</t>
        </is>
      </c>
      <c r="E9" t="inlineStr">
        <is>
          <t>exato</t>
        </is>
      </c>
      <c r="F9" t="inlineStr">
        <is>
          <t>FLAVIA NASCIMENTO DE SOUZA</t>
        </is>
      </c>
      <c r="G9" t="n">
        <v>3311</v>
      </c>
      <c r="H9" t="inlineStr">
        <is>
          <t>Presidente</t>
        </is>
      </c>
      <c r="I9" t="inlineStr">
        <is>
          <t>SIM</t>
        </is>
      </c>
      <c r="J9" t="inlineStr">
        <is>
          <t>Sim</t>
        </is>
      </c>
    </row>
    <row r="10">
      <c r="A10" t="n">
        <v>9</v>
      </c>
      <c r="B10" s="47" t="n">
        <v>46301.61766203704</v>
      </c>
      <c r="C10" t="inlineStr">
        <is>
          <t>Talita Mortari Montysuma</t>
        </is>
      </c>
      <c r="D10" t="inlineStr">
        <is>
          <t>SIM</t>
        </is>
      </c>
      <c r="E10" t="inlineStr">
        <is>
          <t>exato</t>
        </is>
      </c>
      <c r="F10" t="inlineStr">
        <is>
          <t>TALITA MORTARI MONTYSUMA</t>
        </is>
      </c>
      <c r="G10" t="n">
        <v>3161</v>
      </c>
      <c r="H10" t="inlineStr">
        <is>
          <t>1º Mesário</t>
        </is>
      </c>
      <c r="I10" t="inlineStr">
        <is>
          <t>SIM</t>
        </is>
      </c>
      <c r="J10" t="inlineStr">
        <is>
          <t>Sim</t>
        </is>
      </c>
    </row>
    <row r="11">
      <c r="A11" t="n">
        <v>10</v>
      </c>
      <c r="B11" s="47" t="n">
        <v>46301.61800925926</v>
      </c>
      <c r="C11" t="inlineStr">
        <is>
          <t>Fabio Marcelo Da Trindade</t>
        </is>
      </c>
      <c r="D11" t="inlineStr">
        <is>
          <t>SIM</t>
        </is>
      </c>
      <c r="E11" t="inlineStr">
        <is>
          <t>exato</t>
        </is>
      </c>
      <c r="F11" t="inlineStr">
        <is>
          <t>FÁBIO MARCELO DA TRINDADE</t>
        </is>
      </c>
      <c r="G11" t="n">
        <v>3305</v>
      </c>
      <c r="H11" t="inlineStr">
        <is>
          <t>2º Mesário</t>
        </is>
      </c>
      <c r="I11" t="inlineStr">
        <is>
          <t>SIM</t>
        </is>
      </c>
      <c r="J11" t="inlineStr">
        <is>
          <t>Sim</t>
        </is>
      </c>
    </row>
    <row r="12">
      <c r="A12" t="n">
        <v>11</v>
      </c>
      <c r="B12" s="47" t="n">
        <v>46301.61805555555</v>
      </c>
      <c r="C12" t="inlineStr">
        <is>
          <t>Humberto Alaf Ribeiro Martins</t>
        </is>
      </c>
      <c r="D12" t="inlineStr">
        <is>
          <t>SIM</t>
        </is>
      </c>
      <c r="E12" t="inlineStr">
        <is>
          <t>exato</t>
        </is>
      </c>
      <c r="F12" t="inlineStr">
        <is>
          <t>HUMBERTO ALAF RIBEIRO MARTINS</t>
        </is>
      </c>
      <c r="G12" t="n">
        <v>3315</v>
      </c>
      <c r="H12" t="inlineStr">
        <is>
          <t>1º Mesário</t>
        </is>
      </c>
      <c r="I12" t="inlineStr">
        <is>
          <t>SIM</t>
        </is>
      </c>
      <c r="J12" t="inlineStr">
        <is>
          <t>Sim</t>
        </is>
      </c>
    </row>
    <row r="13">
      <c r="A13" t="n">
        <v>12</v>
      </c>
      <c r="B13" s="47" t="n">
        <v>46301.62018518519</v>
      </c>
      <c r="C13" t="inlineStr">
        <is>
          <t>Mariana Souza bode</t>
        </is>
      </c>
      <c r="D13" t="inlineStr">
        <is>
          <t>SIM</t>
        </is>
      </c>
      <c r="E13" t="inlineStr">
        <is>
          <t>sem correspondência</t>
        </is>
      </c>
      <c r="F13" t="inlineStr">
        <is>
          <t>—</t>
        </is>
      </c>
      <c r="G13" t="inlineStr">
        <is>
          <t>—</t>
        </is>
      </c>
      <c r="H13" t="inlineStr">
        <is>
          <t>—</t>
        </is>
      </c>
      <c r="I13" t="inlineStr">
        <is>
          <t>—</t>
        </is>
      </c>
      <c r="J13" t="inlineStr">
        <is>
          <t>Não</t>
        </is>
      </c>
      <c r="K13" t="inlineStr">
        <is>
          <t>Não corresponde a nenhum dos 111 designados — revisão manual</t>
        </is>
      </c>
    </row>
    <row r="14">
      <c r="A14" t="n">
        <v>13</v>
      </c>
      <c r="B14" s="47" t="n">
        <v>46301.62277777777</v>
      </c>
      <c r="C14" t="inlineStr">
        <is>
          <t>Danilo Anderson Ferrareis</t>
        </is>
      </c>
      <c r="D14" t="inlineStr">
        <is>
          <t>SIM</t>
        </is>
      </c>
      <c r="E14" t="inlineStr">
        <is>
          <t>exato</t>
        </is>
      </c>
      <c r="F14" t="inlineStr">
        <is>
          <t>DANILO ANDERSON FERRAREIS</t>
        </is>
      </c>
      <c r="G14" t="n">
        <v>3442</v>
      </c>
      <c r="H14" t="inlineStr">
        <is>
          <t>Presidente</t>
        </is>
      </c>
      <c r="I14" t="inlineStr">
        <is>
          <t>SIM</t>
        </is>
      </c>
      <c r="J14" t="inlineStr">
        <is>
          <t>Sim</t>
        </is>
      </c>
    </row>
    <row r="15">
      <c r="A15" t="n">
        <v>14</v>
      </c>
      <c r="B15" s="47" t="n">
        <v>46301.62283564815</v>
      </c>
      <c r="C15" t="inlineStr">
        <is>
          <t>Ana Paula da Silva Elias</t>
        </is>
      </c>
      <c r="D15" t="inlineStr">
        <is>
          <t>SIM</t>
        </is>
      </c>
      <c r="E15" t="inlineStr">
        <is>
          <t>exato</t>
        </is>
      </c>
      <c r="F15" t="inlineStr">
        <is>
          <t>ANA PAULA DA SILVA ELIAS</t>
        </is>
      </c>
      <c r="G15" t="n">
        <v>1352</v>
      </c>
      <c r="H15" t="inlineStr">
        <is>
          <t>2º Mesário</t>
        </is>
      </c>
      <c r="I15" t="inlineStr">
        <is>
          <t>SIM</t>
        </is>
      </c>
      <c r="J15" t="inlineStr">
        <is>
          <t>Sim</t>
        </is>
      </c>
    </row>
    <row r="16">
      <c r="A16" t="n">
        <v>15</v>
      </c>
      <c r="B16" s="47" t="n">
        <v>46301.62320601852</v>
      </c>
      <c r="C16" t="inlineStr">
        <is>
          <t>Mariana Maciel dos santos souza</t>
        </is>
      </c>
      <c r="D16" t="inlineStr">
        <is>
          <t>SIM</t>
        </is>
      </c>
      <c r="E16" t="inlineStr">
        <is>
          <t>exato</t>
        </is>
      </c>
      <c r="F16" t="inlineStr">
        <is>
          <t>MARIANA MACIEL DOS SANTOS SOUZA</t>
        </is>
      </c>
      <c r="G16" t="n">
        <v>517</v>
      </c>
      <c r="H16" t="inlineStr">
        <is>
          <t>1º Secretário</t>
        </is>
      </c>
      <c r="I16" t="inlineStr">
        <is>
          <t>SIM</t>
        </is>
      </c>
      <c r="J16" t="inlineStr">
        <is>
          <t>Sim</t>
        </is>
      </c>
    </row>
    <row r="17">
      <c r="A17" t="n">
        <v>16</v>
      </c>
      <c r="B17" s="47" t="n">
        <v>46301.62388888889</v>
      </c>
      <c r="C17" t="inlineStr">
        <is>
          <t>Juliana Cassia Tavares de Sousa</t>
        </is>
      </c>
      <c r="D17" t="inlineStr">
        <is>
          <t>SIM</t>
        </is>
      </c>
      <c r="E17" t="inlineStr">
        <is>
          <t>exato</t>
        </is>
      </c>
      <c r="F17" t="inlineStr">
        <is>
          <t>JULIANA CASSIA TAVARES DE SOUSA</t>
        </is>
      </c>
      <c r="G17" t="n">
        <v>3142</v>
      </c>
      <c r="H17" t="inlineStr">
        <is>
          <t>2º Mesário</t>
        </is>
      </c>
      <c r="I17" t="inlineStr">
        <is>
          <t>SIM</t>
        </is>
      </c>
      <c r="J17" t="inlineStr">
        <is>
          <t>Sim</t>
        </is>
      </c>
    </row>
    <row r="18">
      <c r="A18" t="n">
        <v>17</v>
      </c>
      <c r="B18" s="47" t="n">
        <v>46301.62444444445</v>
      </c>
      <c r="C18" t="inlineStr">
        <is>
          <t>Diogo Iglesias Cordeiro</t>
        </is>
      </c>
      <c r="D18" t="inlineStr">
        <is>
          <t>SIM</t>
        </is>
      </c>
      <c r="E18" t="inlineStr">
        <is>
          <t>exato</t>
        </is>
      </c>
      <c r="F18" t="inlineStr">
        <is>
          <t>DIOGO IGLESIAS CORDEIRO</t>
        </is>
      </c>
      <c r="G18" t="n">
        <v>3216</v>
      </c>
      <c r="H18" t="inlineStr">
        <is>
          <t>1º Secretário</t>
        </is>
      </c>
      <c r="I18" t="inlineStr">
        <is>
          <t>SIM</t>
        </is>
      </c>
      <c r="J18" t="inlineStr">
        <is>
          <t>Sim</t>
        </is>
      </c>
    </row>
    <row r="19">
      <c r="A19" t="n">
        <v>18</v>
      </c>
      <c r="B19" s="47" t="n">
        <v>46301.62975694444</v>
      </c>
      <c r="C19" t="inlineStr">
        <is>
          <t>Juliana Henrique Campos Silva</t>
        </is>
      </c>
      <c r="D19" t="inlineStr">
        <is>
          <t>SIM</t>
        </is>
      </c>
      <c r="E19" t="inlineStr">
        <is>
          <t>exato</t>
        </is>
      </c>
      <c r="F19" t="inlineStr">
        <is>
          <t>JULIANA HENRIQUE CAMPOS SILVA</t>
        </is>
      </c>
      <c r="G19" t="n">
        <v>3216</v>
      </c>
      <c r="H19" t="inlineStr">
        <is>
          <t>Presidente</t>
        </is>
      </c>
      <c r="I19" t="inlineStr">
        <is>
          <t>SIM</t>
        </is>
      </c>
      <c r="J19" t="inlineStr">
        <is>
          <t>Sim</t>
        </is>
      </c>
    </row>
    <row r="20">
      <c r="A20" t="n">
        <v>19</v>
      </c>
      <c r="B20" s="47" t="n">
        <v>46301.63075231481</v>
      </c>
      <c r="C20" t="inlineStr">
        <is>
          <t>Camila Moura Martins</t>
        </is>
      </c>
      <c r="D20" t="inlineStr">
        <is>
          <t>SIM</t>
        </is>
      </c>
      <c r="E20" t="inlineStr">
        <is>
          <t>exato</t>
        </is>
      </c>
      <c r="F20" t="inlineStr">
        <is>
          <t>CAMILA MOURA MARTINS</t>
        </is>
      </c>
      <c r="G20" t="n">
        <v>512</v>
      </c>
      <c r="H20" t="inlineStr">
        <is>
          <t>2º Mesário</t>
        </is>
      </c>
      <c r="I20" t="inlineStr">
        <is>
          <t>SIM</t>
        </is>
      </c>
      <c r="J20" t="inlineStr">
        <is>
          <t>Sim</t>
        </is>
      </c>
    </row>
    <row r="21">
      <c r="A21" t="n">
        <v>20</v>
      </c>
      <c r="B21" s="47" t="n">
        <v>46301.63177083333</v>
      </c>
      <c r="C21" t="inlineStr">
        <is>
          <t>Laura Beatriz Vieira Santos</t>
        </is>
      </c>
      <c r="D21" t="inlineStr">
        <is>
          <t>NÃO</t>
        </is>
      </c>
      <c r="E21" t="inlineStr">
        <is>
          <t>exato</t>
        </is>
      </c>
      <c r="F21" t="inlineStr">
        <is>
          <t>LAURA BEATRIZ VIEIRA SANTOS</t>
        </is>
      </c>
      <c r="G21" t="n">
        <v>3688</v>
      </c>
      <c r="H21" t="inlineStr">
        <is>
          <t>1º Mesário</t>
        </is>
      </c>
      <c r="I21" t="inlineStr">
        <is>
          <t>NAO</t>
        </is>
      </c>
      <c r="J21" t="inlineStr">
        <is>
          <t>Sim</t>
        </is>
      </c>
    </row>
    <row r="22">
      <c r="A22" t="n">
        <v>21</v>
      </c>
      <c r="B22" s="47" t="n">
        <v>46301.63673611111</v>
      </c>
      <c r="C22" t="inlineStr">
        <is>
          <t>Marina Rodrigues Couto</t>
        </is>
      </c>
      <c r="D22" t="inlineStr">
        <is>
          <t>SIM</t>
        </is>
      </c>
      <c r="E22" t="inlineStr">
        <is>
          <t>exato</t>
        </is>
      </c>
      <c r="F22" t="inlineStr">
        <is>
          <t>MARINA RODRIGUES COUTO</t>
        </is>
      </c>
      <c r="G22" t="n">
        <v>3832</v>
      </c>
      <c r="H22" t="inlineStr">
        <is>
          <t>1º Mesário</t>
        </is>
      </c>
      <c r="I22" t="inlineStr">
        <is>
          <t>SIM</t>
        </is>
      </c>
      <c r="J22" t="inlineStr">
        <is>
          <t>Sim</t>
        </is>
      </c>
    </row>
    <row r="23">
      <c r="A23" t="n">
        <v>22</v>
      </c>
      <c r="B23" s="47" t="n">
        <v>46301.63945601852</v>
      </c>
      <c r="C23" t="inlineStr">
        <is>
          <t>Matheus Carvalho Mendonça</t>
        </is>
      </c>
      <c r="D23" t="inlineStr">
        <is>
          <t>SIM</t>
        </is>
      </c>
      <c r="E23" t="inlineStr">
        <is>
          <t>exato</t>
        </is>
      </c>
      <c r="F23" t="inlineStr">
        <is>
          <t>MATHEUS CARVALHO MENDONCA</t>
        </is>
      </c>
      <c r="G23" t="n">
        <v>3306</v>
      </c>
      <c r="H23" t="inlineStr">
        <is>
          <t>1º Secretário</t>
        </is>
      </c>
      <c r="I23" t="inlineStr">
        <is>
          <t>SIM</t>
        </is>
      </c>
      <c r="J23" t="inlineStr">
        <is>
          <t>Sim</t>
        </is>
      </c>
    </row>
    <row r="24">
      <c r="A24" t="n">
        <v>23</v>
      </c>
      <c r="B24" s="47" t="n">
        <v>46301.64196759259</v>
      </c>
      <c r="C24" t="inlineStr">
        <is>
          <t>Bruna Maria de Almeida Cabral</t>
        </is>
      </c>
      <c r="D24" t="inlineStr">
        <is>
          <t>SIM</t>
        </is>
      </c>
      <c r="E24" t="inlineStr">
        <is>
          <t>exato</t>
        </is>
      </c>
      <c r="F24" t="inlineStr">
        <is>
          <t>BRUNA MARIA DE ALMEIDA CABRAL</t>
        </is>
      </c>
      <c r="G24" t="n">
        <v>3862</v>
      </c>
      <c r="H24" t="inlineStr">
        <is>
          <t>1º Mesário</t>
        </is>
      </c>
      <c r="I24" t="inlineStr">
        <is>
          <t>SIM</t>
        </is>
      </c>
      <c r="J24" t="inlineStr">
        <is>
          <t>Sim</t>
        </is>
      </c>
    </row>
    <row r="25">
      <c r="A25" t="n">
        <v>24</v>
      </c>
      <c r="B25" s="47" t="n">
        <v>46301.64351851852</v>
      </c>
      <c r="C25" t="inlineStr">
        <is>
          <t>Alane gerssica de Andrade do Nascimento</t>
        </is>
      </c>
      <c r="D25" t="inlineStr">
        <is>
          <t>NÃO</t>
        </is>
      </c>
      <c r="E25" t="inlineStr">
        <is>
          <t>exato</t>
        </is>
      </c>
      <c r="F25" t="inlineStr">
        <is>
          <t>ALANE GERSSICA DE ANDRADE DO NASCIMENTO</t>
        </is>
      </c>
      <c r="G25" t="n">
        <v>3315</v>
      </c>
      <c r="H25" t="inlineStr">
        <is>
          <t>1º Secretário</t>
        </is>
      </c>
      <c r="I25" t="inlineStr">
        <is>
          <t>NAO</t>
        </is>
      </c>
      <c r="J25" t="inlineStr">
        <is>
          <t>Sim</t>
        </is>
      </c>
    </row>
    <row r="26">
      <c r="A26" t="n">
        <v>25</v>
      </c>
      <c r="B26" s="47" t="n">
        <v>46301.64413194444</v>
      </c>
      <c r="C26" t="inlineStr">
        <is>
          <t>Jussara Veneza Soares</t>
        </is>
      </c>
      <c r="D26" t="inlineStr">
        <is>
          <t>NÃO</t>
        </is>
      </c>
      <c r="E26" t="inlineStr">
        <is>
          <t>exato</t>
        </is>
      </c>
      <c r="F26" t="inlineStr">
        <is>
          <t>JUSSARA VENEZA SOARES</t>
        </is>
      </c>
      <c r="G26" t="n">
        <v>3179</v>
      </c>
      <c r="H26" t="inlineStr">
        <is>
          <t>2º Mesário</t>
        </is>
      </c>
      <c r="I26" t="inlineStr">
        <is>
          <t>NAO</t>
        </is>
      </c>
      <c r="J26" t="inlineStr">
        <is>
          <t>Sim</t>
        </is>
      </c>
    </row>
    <row r="27">
      <c r="A27" t="n">
        <v>26</v>
      </c>
      <c r="B27" s="47" t="n">
        <v>46301.64513888889</v>
      </c>
      <c r="C27" t="inlineStr">
        <is>
          <t>Sandro Cunha da Silva</t>
        </is>
      </c>
      <c r="D27" t="inlineStr">
        <is>
          <t>SIM</t>
        </is>
      </c>
      <c r="E27" t="inlineStr">
        <is>
          <t>exato</t>
        </is>
      </c>
      <c r="F27" t="inlineStr">
        <is>
          <t>SANDRO CUNHA DA SILVA</t>
        </is>
      </c>
      <c r="G27" t="n">
        <v>3313</v>
      </c>
      <c r="H27" t="inlineStr">
        <is>
          <t>1º Secretário</t>
        </is>
      </c>
      <c r="I27" t="inlineStr">
        <is>
          <t>SIM</t>
        </is>
      </c>
      <c r="J27" t="inlineStr">
        <is>
          <t>Sim</t>
        </is>
      </c>
    </row>
    <row r="28">
      <c r="A28" t="n">
        <v>27</v>
      </c>
      <c r="B28" s="47" t="n">
        <v>46301.64555555556</v>
      </c>
      <c r="C28" t="inlineStr">
        <is>
          <t>Aurora Madril Oliveira Molina</t>
        </is>
      </c>
      <c r="D28" t="inlineStr">
        <is>
          <t>SIM</t>
        </is>
      </c>
      <c r="E28" t="inlineStr">
        <is>
          <t>exato</t>
        </is>
      </c>
      <c r="F28" t="inlineStr">
        <is>
          <t>AURORA MADRIL OLIVEIRA MOLINA</t>
        </is>
      </c>
      <c r="G28" t="n">
        <v>3229</v>
      </c>
      <c r="H28" t="inlineStr">
        <is>
          <t>2º Mesário</t>
        </is>
      </c>
      <c r="I28" t="inlineStr">
        <is>
          <t>SIM</t>
        </is>
      </c>
      <c r="J28" t="inlineStr">
        <is>
          <t>Sim</t>
        </is>
      </c>
    </row>
    <row r="29">
      <c r="A29" t="n">
        <v>28</v>
      </c>
      <c r="B29" s="47" t="n">
        <v>46301.65056712963</v>
      </c>
      <c r="C29" t="inlineStr">
        <is>
          <t>Nicoli Campos Camilo</t>
        </is>
      </c>
      <c r="D29" t="inlineStr">
        <is>
          <t>SIM</t>
        </is>
      </c>
      <c r="E29" t="inlineStr">
        <is>
          <t>exato</t>
        </is>
      </c>
      <c r="F29" t="inlineStr">
        <is>
          <t>NICOLI CAMPOS CAMILO</t>
        </is>
      </c>
      <c r="G29" t="n">
        <v>3442</v>
      </c>
      <c r="H29" t="inlineStr">
        <is>
          <t>1º Secretário</t>
        </is>
      </c>
      <c r="I29" t="inlineStr">
        <is>
          <t>SIM</t>
        </is>
      </c>
      <c r="J29" t="inlineStr">
        <is>
          <t>Sim</t>
        </is>
      </c>
    </row>
    <row r="30">
      <c r="A30" t="n">
        <v>29</v>
      </c>
      <c r="B30" s="47" t="n">
        <v>46301.66105324074</v>
      </c>
      <c r="C30" t="inlineStr">
        <is>
          <t>BEATRIZ CARACANHA BERTOCCO</t>
        </is>
      </c>
      <c r="D30" t="inlineStr">
        <is>
          <t>SIM</t>
        </is>
      </c>
      <c r="E30" t="inlineStr">
        <is>
          <t>exato</t>
        </is>
      </c>
      <c r="F30" t="inlineStr">
        <is>
          <t>BEATRIZ CARACANHA BERTOCCO</t>
        </is>
      </c>
      <c r="G30" t="n">
        <v>511</v>
      </c>
      <c r="H30" t="inlineStr">
        <is>
          <t>1º Secretário</t>
        </is>
      </c>
      <c r="I30" t="inlineStr">
        <is>
          <t>SIM</t>
        </is>
      </c>
      <c r="J30" t="inlineStr">
        <is>
          <t>Sim</t>
        </is>
      </c>
    </row>
    <row r="31">
      <c r="A31" t="n">
        <v>30</v>
      </c>
      <c r="B31" s="47" t="n">
        <v>46301.66768518519</v>
      </c>
      <c r="C31" t="inlineStr">
        <is>
          <t>Daiane Leal Gomes</t>
        </is>
      </c>
      <c r="D31" t="inlineStr">
        <is>
          <t>SIM</t>
        </is>
      </c>
      <c r="E31" t="inlineStr">
        <is>
          <t>exato</t>
        </is>
      </c>
      <c r="F31" t="inlineStr">
        <is>
          <t>DAIANE LEAL GOMES</t>
        </is>
      </c>
      <c r="G31" t="n">
        <v>517</v>
      </c>
      <c r="H31" t="inlineStr">
        <is>
          <t>Presidente</t>
        </is>
      </c>
      <c r="I31" t="inlineStr">
        <is>
          <t>SIM</t>
        </is>
      </c>
      <c r="J31" t="inlineStr">
        <is>
          <t>Não</t>
        </is>
      </c>
      <c r="K31" t="inlineStr">
        <is>
          <t>Duplicada — superada pela resposta seguinte</t>
        </is>
      </c>
    </row>
    <row r="32">
      <c r="A32" t="n">
        <v>31</v>
      </c>
      <c r="B32" s="47" t="n">
        <v>46301.66907407407</v>
      </c>
      <c r="C32" t="inlineStr">
        <is>
          <t>CARLA RIBEIRO DOS SANTOS SIMOES</t>
        </is>
      </c>
      <c r="D32" t="inlineStr">
        <is>
          <t>SIM</t>
        </is>
      </c>
      <c r="E32" t="inlineStr">
        <is>
          <t>exato</t>
        </is>
      </c>
      <c r="F32" t="inlineStr">
        <is>
          <t>CARLA RIBEIRO DOS SANTOS SIMOES</t>
        </is>
      </c>
      <c r="G32" t="n">
        <v>3308</v>
      </c>
      <c r="H32" t="inlineStr">
        <is>
          <t>1º Mesário</t>
        </is>
      </c>
      <c r="I32" t="inlineStr">
        <is>
          <t>SIM</t>
        </is>
      </c>
      <c r="J32" t="inlineStr">
        <is>
          <t>Sim</t>
        </is>
      </c>
    </row>
    <row r="33">
      <c r="A33" t="n">
        <v>32</v>
      </c>
      <c r="B33" s="47" t="n">
        <v>46301.67061342593</v>
      </c>
      <c r="C33" t="inlineStr">
        <is>
          <t>Thayla Christine Eugenio Bento</t>
        </is>
      </c>
      <c r="D33" t="inlineStr">
        <is>
          <t>SIM</t>
        </is>
      </c>
      <c r="E33" t="inlineStr">
        <is>
          <t>exato</t>
        </is>
      </c>
      <c r="F33" t="inlineStr">
        <is>
          <t>THAYLA CHRISTINE EUGENIO BENTO</t>
        </is>
      </c>
      <c r="G33" t="n">
        <v>3832</v>
      </c>
      <c r="H33" t="inlineStr">
        <is>
          <t>1º Secretário</t>
        </is>
      </c>
      <c r="I33" t="inlineStr">
        <is>
          <t>SIM</t>
        </is>
      </c>
      <c r="J33" t="inlineStr">
        <is>
          <t>Não</t>
        </is>
      </c>
      <c r="K33" t="inlineStr">
        <is>
          <t>Duplicada — superada pela resposta seguinte</t>
        </is>
      </c>
    </row>
    <row r="34">
      <c r="A34" t="n">
        <v>33</v>
      </c>
      <c r="B34" s="47" t="n">
        <v>46301.6746412037</v>
      </c>
      <c r="C34" t="inlineStr">
        <is>
          <t>Thayla Christine Eugenio Bento</t>
        </is>
      </c>
      <c r="D34" t="inlineStr">
        <is>
          <t>SIM</t>
        </is>
      </c>
      <c r="E34" t="inlineStr">
        <is>
          <t>exato</t>
        </is>
      </c>
      <c r="F34" t="inlineStr">
        <is>
          <t>THAYLA CHRISTINE EUGENIO BENTO</t>
        </is>
      </c>
      <c r="G34" t="n">
        <v>3832</v>
      </c>
      <c r="H34" t="inlineStr">
        <is>
          <t>1º Secretário</t>
        </is>
      </c>
      <c r="I34" t="inlineStr">
        <is>
          <t>SIM</t>
        </is>
      </c>
      <c r="J34" t="inlineStr">
        <is>
          <t>Sim</t>
        </is>
      </c>
      <c r="K34" t="inlineStr">
        <is>
          <t>Duplicada — considerada</t>
        </is>
      </c>
    </row>
    <row r="35">
      <c r="A35" t="n">
        <v>34</v>
      </c>
      <c r="B35" s="47" t="n">
        <v>46301.67711805556</v>
      </c>
      <c r="C35" t="inlineStr">
        <is>
          <t>Jéssica Mendes</t>
        </is>
      </c>
      <c r="D35" t="inlineStr">
        <is>
          <t>SIM</t>
        </is>
      </c>
      <c r="E35" t="inlineStr">
        <is>
          <t>exato</t>
        </is>
      </c>
      <c r="F35" t="inlineStr">
        <is>
          <t>JESSICA MENDES</t>
        </is>
      </c>
      <c r="G35" t="n">
        <v>3315</v>
      </c>
      <c r="H35" t="inlineStr">
        <is>
          <t>2º Mesário</t>
        </is>
      </c>
      <c r="I35" t="inlineStr">
        <is>
          <t>SIM</t>
        </is>
      </c>
      <c r="J35" t="inlineStr">
        <is>
          <t>Sim</t>
        </is>
      </c>
    </row>
    <row r="36">
      <c r="A36" t="n">
        <v>35</v>
      </c>
      <c r="B36" s="47" t="n">
        <v>46301.70184027778</v>
      </c>
      <c r="C36" t="inlineStr">
        <is>
          <t>Daiane Leal Gomes</t>
        </is>
      </c>
      <c r="D36" t="inlineStr">
        <is>
          <t>SIM</t>
        </is>
      </c>
      <c r="E36" t="inlineStr">
        <is>
          <t>exato</t>
        </is>
      </c>
      <c r="F36" t="inlineStr">
        <is>
          <t>DAIANE LEAL GOMES</t>
        </is>
      </c>
      <c r="G36" t="n">
        <v>517</v>
      </c>
      <c r="H36" t="inlineStr">
        <is>
          <t>Presidente</t>
        </is>
      </c>
      <c r="I36" t="inlineStr">
        <is>
          <t>SIM</t>
        </is>
      </c>
      <c r="J36" t="inlineStr">
        <is>
          <t>Sim</t>
        </is>
      </c>
      <c r="K36" t="inlineStr">
        <is>
          <t>Duplicada — considerada</t>
        </is>
      </c>
    </row>
    <row r="37">
      <c r="A37" t="n">
        <v>36</v>
      </c>
      <c r="B37" s="47" t="n">
        <v>46301.71290509259</v>
      </c>
      <c r="C37" t="inlineStr">
        <is>
          <t>Nastassja Losada</t>
        </is>
      </c>
      <c r="D37" t="inlineStr">
        <is>
          <t>SIM</t>
        </is>
      </c>
      <c r="E37" t="inlineStr">
        <is>
          <t>equivalência</t>
        </is>
      </c>
      <c r="F37" t="inlineStr">
        <is>
          <t>NASTASSJA VERONICA LOUSADA GOMES</t>
        </is>
      </c>
      <c r="G37" t="n">
        <v>3161</v>
      </c>
      <c r="H37" t="inlineStr">
        <is>
          <t>2º Mesário</t>
        </is>
      </c>
      <c r="I37" t="inlineStr">
        <is>
          <t>SIM</t>
        </is>
      </c>
      <c r="J37" t="inlineStr">
        <is>
          <t>Sim</t>
        </is>
      </c>
    </row>
    <row r="38">
      <c r="A38" t="n">
        <v>37</v>
      </c>
      <c r="B38" s="47" t="n">
        <v>46301.71671296296</v>
      </c>
      <c r="C38" t="inlineStr">
        <is>
          <t>Ednaldo Azevedo De Noronha</t>
        </is>
      </c>
      <c r="D38" t="inlineStr">
        <is>
          <t>SIM</t>
        </is>
      </c>
      <c r="E38" t="inlineStr">
        <is>
          <t>exato</t>
        </is>
      </c>
      <c r="F38" t="inlineStr">
        <is>
          <t>EDNALDO AZEVEDO DE NORONHA</t>
        </is>
      </c>
      <c r="G38" t="n">
        <v>3311</v>
      </c>
      <c r="H38" t="inlineStr">
        <is>
          <t>2º Mesário</t>
        </is>
      </c>
      <c r="I38" t="inlineStr">
        <is>
          <t>SIM</t>
        </is>
      </c>
      <c r="J38" t="inlineStr">
        <is>
          <t>Não</t>
        </is>
      </c>
      <c r="K38" t="inlineStr">
        <is>
          <t>Duplicada — superada pela resposta seguinte</t>
        </is>
      </c>
    </row>
    <row r="39">
      <c r="A39" t="n">
        <v>38</v>
      </c>
      <c r="B39" s="47" t="n">
        <v>46301.72101851852</v>
      </c>
      <c r="C39" t="inlineStr">
        <is>
          <t>Paula Cipro Carvalho Campos</t>
        </is>
      </c>
      <c r="D39" t="inlineStr">
        <is>
          <t>NÃO</t>
        </is>
      </c>
      <c r="E39" t="inlineStr">
        <is>
          <t>exato</t>
        </is>
      </c>
      <c r="F39" t="inlineStr">
        <is>
          <t>PAULA CIPRO CARVALHO CAMPOS</t>
        </is>
      </c>
      <c r="G39" t="n">
        <v>3309</v>
      </c>
      <c r="H39" t="inlineStr">
        <is>
          <t>1º Mesário</t>
        </is>
      </c>
      <c r="I39" t="inlineStr">
        <is>
          <t>SIM</t>
        </is>
      </c>
      <c r="J39" t="inlineStr">
        <is>
          <t>Sim</t>
        </is>
      </c>
    </row>
    <row r="40">
      <c r="A40" t="n">
        <v>39</v>
      </c>
      <c r="B40" s="47" t="n">
        <v>46301.72512731481</v>
      </c>
      <c r="C40" t="inlineStr">
        <is>
          <t>SARA SOBRAL DIAS</t>
        </is>
      </c>
      <c r="D40" t="inlineStr">
        <is>
          <t>NÃO</t>
        </is>
      </c>
      <c r="E40" t="inlineStr">
        <is>
          <t>exato</t>
        </is>
      </c>
      <c r="F40" t="inlineStr">
        <is>
          <t>SARA SOBRAL DIAS</t>
        </is>
      </c>
      <c r="G40" t="n">
        <v>3309</v>
      </c>
      <c r="H40" t="inlineStr">
        <is>
          <t>1º Secretário</t>
        </is>
      </c>
      <c r="I40" t="inlineStr">
        <is>
          <t>SIM</t>
        </is>
      </c>
      <c r="J40" t="inlineStr">
        <is>
          <t>Sim</t>
        </is>
      </c>
    </row>
    <row r="41">
      <c r="A41" t="n">
        <v>41</v>
      </c>
      <c r="B41" s="47" t="n">
        <v>46301.72599537037</v>
      </c>
      <c r="C41" t="inlineStr">
        <is>
          <t>Ednaldo Azevedo De Noronha</t>
        </is>
      </c>
      <c r="D41" t="inlineStr">
        <is>
          <t>SIM</t>
        </is>
      </c>
      <c r="E41" t="inlineStr">
        <is>
          <t>exato</t>
        </is>
      </c>
      <c r="F41" t="inlineStr">
        <is>
          <t>EDNALDO AZEVEDO DE NORONHA</t>
        </is>
      </c>
      <c r="G41" t="n">
        <v>3311</v>
      </c>
      <c r="H41" t="inlineStr">
        <is>
          <t>2º Mesário</t>
        </is>
      </c>
      <c r="I41" t="inlineStr">
        <is>
          <t>SIM</t>
        </is>
      </c>
      <c r="J41" t="inlineStr">
        <is>
          <t>Sim</t>
        </is>
      </c>
      <c r="K41" t="inlineStr">
        <is>
          <t>Duplicada — considerada</t>
        </is>
      </c>
    </row>
    <row r="42">
      <c r="A42" t="n">
        <v>43</v>
      </c>
      <c r="B42" s="47" t="n">
        <v>46301.73297453704</v>
      </c>
      <c r="C42" t="inlineStr">
        <is>
          <t>Ingrid Machado</t>
        </is>
      </c>
      <c r="D42" t="inlineStr">
        <is>
          <t>SIM</t>
        </is>
      </c>
      <c r="E42" t="inlineStr">
        <is>
          <t>equivalência</t>
        </is>
      </c>
      <c r="F42" t="inlineStr">
        <is>
          <t>INGRID MACHADO DOS REIS</t>
        </is>
      </c>
      <c r="G42" t="n">
        <v>3108</v>
      </c>
      <c r="H42" t="inlineStr">
        <is>
          <t>2º Mesário</t>
        </is>
      </c>
      <c r="I42" t="inlineStr">
        <is>
          <t>SIM</t>
        </is>
      </c>
      <c r="J42" t="inlineStr">
        <is>
          <t>Sim</t>
        </is>
      </c>
    </row>
    <row r="43">
      <c r="A43" t="n">
        <v>44</v>
      </c>
      <c r="B43" s="47" t="n">
        <v>46301.7446875</v>
      </c>
      <c r="C43" t="inlineStr">
        <is>
          <t>Tatiane Cristina Fregnani</t>
        </is>
      </c>
      <c r="D43" t="inlineStr">
        <is>
          <t>SIM</t>
        </is>
      </c>
      <c r="E43" t="inlineStr">
        <is>
          <t>exato</t>
        </is>
      </c>
      <c r="F43" t="inlineStr">
        <is>
          <t>TATIANE CRISTINA FREGNANI</t>
        </is>
      </c>
      <c r="G43" t="n">
        <v>3078</v>
      </c>
      <c r="H43" t="inlineStr">
        <is>
          <t>1º Mesário</t>
        </is>
      </c>
      <c r="I43" t="inlineStr">
        <is>
          <t>SIM</t>
        </is>
      </c>
      <c r="J43" t="inlineStr">
        <is>
          <t>Sim</t>
        </is>
      </c>
    </row>
    <row r="44">
      <c r="A44" t="n">
        <v>45</v>
      </c>
      <c r="B44" s="47" t="n">
        <v>46301.74533564815</v>
      </c>
      <c r="C44" t="inlineStr">
        <is>
          <t>Lincoln Cubas Guedes</t>
        </is>
      </c>
      <c r="D44" t="inlineStr">
        <is>
          <t>NÃO</t>
        </is>
      </c>
      <c r="E44" t="inlineStr">
        <is>
          <t>exato</t>
        </is>
      </c>
      <c r="F44" t="inlineStr">
        <is>
          <t>LINCOLN CUBAS GUEDES</t>
        </is>
      </c>
      <c r="G44" t="n">
        <v>3142</v>
      </c>
      <c r="H44" t="inlineStr">
        <is>
          <t>1º Secretário</t>
        </is>
      </c>
      <c r="I44" t="inlineStr">
        <is>
          <t>NAO</t>
        </is>
      </c>
      <c r="J44" t="inlineStr">
        <is>
          <t>Não</t>
        </is>
      </c>
      <c r="K44" t="inlineStr">
        <is>
          <t>CONFLITO — superada</t>
        </is>
      </c>
    </row>
    <row r="45">
      <c r="A45" t="n">
        <v>46</v>
      </c>
      <c r="B45" s="47" t="n">
        <v>46301.74972222222</v>
      </c>
      <c r="C45" t="inlineStr">
        <is>
          <t>Lincoln Guedes</t>
        </is>
      </c>
      <c r="D45" t="inlineStr">
        <is>
          <t>SIM</t>
        </is>
      </c>
      <c r="E45" t="inlineStr">
        <is>
          <t>equivalência</t>
        </is>
      </c>
      <c r="F45" t="inlineStr">
        <is>
          <t>LINCOLN CUBAS GUEDES</t>
        </is>
      </c>
      <c r="G45" t="n">
        <v>3142</v>
      </c>
      <c r="H45" t="inlineStr">
        <is>
          <t>1º Secretário</t>
        </is>
      </c>
      <c r="I45" t="inlineStr">
        <is>
          <t>NAO</t>
        </is>
      </c>
      <c r="J45" t="inlineStr">
        <is>
          <t>Sim</t>
        </is>
      </c>
      <c r="K45" t="inlineStr">
        <is>
          <t>CONFLITO — considerada (última)</t>
        </is>
      </c>
    </row>
    <row r="46">
      <c r="A46" t="n">
        <v>47</v>
      </c>
      <c r="B46" s="47" t="n">
        <v>46301.76459490741</v>
      </c>
      <c r="C46" t="inlineStr">
        <is>
          <t>Beatriz Gilli Hadg Karkachi</t>
        </is>
      </c>
      <c r="D46" t="inlineStr">
        <is>
          <t>SIM</t>
        </is>
      </c>
      <c r="E46" t="inlineStr">
        <is>
          <t>exato</t>
        </is>
      </c>
      <c r="F46" t="inlineStr">
        <is>
          <t>BEATRIZ GILLI HADG KARKACHI</t>
        </is>
      </c>
      <c r="G46" t="n">
        <v>3142</v>
      </c>
      <c r="H46" t="inlineStr">
        <is>
          <t>Presidente</t>
        </is>
      </c>
      <c r="I46" t="inlineStr">
        <is>
          <t>SIM</t>
        </is>
      </c>
      <c r="J46" t="inlineStr">
        <is>
          <t>Sim</t>
        </is>
      </c>
    </row>
    <row r="47">
      <c r="A47" t="n">
        <v>48</v>
      </c>
      <c r="B47" s="47" t="n">
        <v>46301.8078125</v>
      </c>
      <c r="C47" t="inlineStr">
        <is>
          <t>Tayna Steteli Peron Lopes Silva</t>
        </is>
      </c>
      <c r="D47" t="inlineStr">
        <is>
          <t>SIM</t>
        </is>
      </c>
      <c r="E47" t="inlineStr">
        <is>
          <t>exato</t>
        </is>
      </c>
      <c r="F47" t="inlineStr">
        <is>
          <t>TAYNA STETELI PERON LOPES SILVA</t>
        </is>
      </c>
      <c r="G47" t="n">
        <v>3179</v>
      </c>
      <c r="H47" t="inlineStr">
        <is>
          <t>1º Secretário</t>
        </is>
      </c>
      <c r="I47" t="inlineStr">
        <is>
          <t>SIM</t>
        </is>
      </c>
      <c r="J47" t="inlineStr">
        <is>
          <t>Sim</t>
        </is>
      </c>
    </row>
    <row r="48">
      <c r="A48" t="n">
        <v>49</v>
      </c>
      <c r="B48" s="47" t="n">
        <v>46301.84356481482</v>
      </c>
      <c r="C48" t="inlineStr">
        <is>
          <t>Nádia Fernanda Weber</t>
        </is>
      </c>
      <c r="D48" t="inlineStr">
        <is>
          <t>SIM</t>
        </is>
      </c>
      <c r="E48" t="inlineStr">
        <is>
          <t>exato</t>
        </is>
      </c>
      <c r="F48" t="inlineStr">
        <is>
          <t>NADIA FERNANDA WEBER</t>
        </is>
      </c>
      <c r="G48" t="n">
        <v>3322</v>
      </c>
      <c r="H48" t="inlineStr">
        <is>
          <t>1º Secretário</t>
        </is>
      </c>
      <c r="I48" t="inlineStr">
        <is>
          <t>SIM</t>
        </is>
      </c>
      <c r="J48" t="inlineStr">
        <is>
          <t>Sim</t>
        </is>
      </c>
    </row>
    <row r="49">
      <c r="A49" t="n">
        <v>50</v>
      </c>
      <c r="B49" s="47" t="n">
        <v>46301.89388888889</v>
      </c>
      <c r="C49" t="inlineStr">
        <is>
          <t>Leila Rosaria Liotta</t>
        </is>
      </c>
      <c r="D49" t="inlineStr">
        <is>
          <t>SIM</t>
        </is>
      </c>
      <c r="E49" t="inlineStr">
        <is>
          <t>exato</t>
        </is>
      </c>
      <c r="F49" t="inlineStr">
        <is>
          <t>LEILA ROSARIA LIOTTA</t>
        </is>
      </c>
      <c r="G49" t="n">
        <v>3313</v>
      </c>
      <c r="H49" t="inlineStr">
        <is>
          <t>1º Mesário</t>
        </is>
      </c>
      <c r="I49" t="inlineStr">
        <is>
          <t>SIM</t>
        </is>
      </c>
      <c r="J49" t="inlineStr">
        <is>
          <t>Sim</t>
        </is>
      </c>
    </row>
    <row r="50">
      <c r="A50" t="n">
        <v>51</v>
      </c>
      <c r="B50" s="47" t="n">
        <v>46301.91864583334</v>
      </c>
      <c r="C50" t="inlineStr">
        <is>
          <t>LUIZ HENRIQUE DE SOUSA SMANIA</t>
        </is>
      </c>
      <c r="D50" t="inlineStr">
        <is>
          <t>SIM</t>
        </is>
      </c>
      <c r="E50" t="inlineStr">
        <is>
          <t>exato</t>
        </is>
      </c>
      <c r="F50" t="inlineStr">
        <is>
          <t>LUIZ HENRIQUE DE SOUSA SMANIA</t>
        </is>
      </c>
      <c r="G50" t="n">
        <v>513</v>
      </c>
      <c r="H50" t="inlineStr">
        <is>
          <t>1º Mesário</t>
        </is>
      </c>
      <c r="I50" t="inlineStr">
        <is>
          <t>SIM</t>
        </is>
      </c>
      <c r="J50" t="inlineStr">
        <is>
          <t>Sim</t>
        </is>
      </c>
    </row>
    <row r="51">
      <c r="A51" t="n">
        <v>52</v>
      </c>
      <c r="B51" s="47" t="n">
        <v>46301.95131944444</v>
      </c>
      <c r="C51" t="inlineStr">
        <is>
          <t>Rafael Drummond Rodrigues</t>
        </is>
      </c>
      <c r="D51" t="inlineStr">
        <is>
          <t>SIM</t>
        </is>
      </c>
      <c r="E51" t="inlineStr">
        <is>
          <t>exato</t>
        </is>
      </c>
      <c r="F51" t="inlineStr">
        <is>
          <t>RAFAEL DRUMMOND RODRIGUES</t>
        </is>
      </c>
      <c r="G51" t="n">
        <v>517</v>
      </c>
      <c r="H51" t="inlineStr">
        <is>
          <t>2º Mesário</t>
        </is>
      </c>
      <c r="I51" t="inlineStr">
        <is>
          <t>SIM</t>
        </is>
      </c>
      <c r="J51" t="inlineStr">
        <is>
          <t>Sim</t>
        </is>
      </c>
    </row>
    <row r="52">
      <c r="A52" t="n">
        <v>53</v>
      </c>
      <c r="B52" s="47" t="n">
        <v>46302.36236111111</v>
      </c>
      <c r="C52" t="inlineStr">
        <is>
          <t>Jaqueline Teixeira</t>
        </is>
      </c>
      <c r="D52" t="inlineStr">
        <is>
          <t>SIM</t>
        </is>
      </c>
      <c r="E52" t="inlineStr">
        <is>
          <t>equivalência</t>
        </is>
      </c>
      <c r="F52" t="inlineStr">
        <is>
          <t>JAQUELINE APARECIDA TEIXEIRA</t>
        </is>
      </c>
      <c r="G52" t="n">
        <v>3216</v>
      </c>
      <c r="H52" t="inlineStr">
        <is>
          <t>2º Mesário</t>
        </is>
      </c>
      <c r="I52" t="inlineStr">
        <is>
          <t>SIM</t>
        </is>
      </c>
      <c r="J52" t="inlineStr">
        <is>
          <t>Sim</t>
        </is>
      </c>
    </row>
    <row r="53">
      <c r="A53" t="n">
        <v>54</v>
      </c>
      <c r="B53" s="47" t="n">
        <v>46302.416875</v>
      </c>
      <c r="C53" t="inlineStr">
        <is>
          <t>Dener Augusto Sales Machado</t>
        </is>
      </c>
      <c r="D53" t="inlineStr">
        <is>
          <t>NÃO</t>
        </is>
      </c>
      <c r="E53" t="inlineStr">
        <is>
          <t>exato</t>
        </is>
      </c>
      <c r="F53" t="inlineStr">
        <is>
          <t>DENER AUGUSTO SALES MACHADO</t>
        </is>
      </c>
      <c r="G53" t="n">
        <v>1352</v>
      </c>
      <c r="H53" t="inlineStr">
        <is>
          <t>1º Secretário</t>
        </is>
      </c>
      <c r="I53" t="inlineStr">
        <is>
          <t>SIM</t>
        </is>
      </c>
      <c r="J53" t="inlineStr">
        <is>
          <t>Sim</t>
        </is>
      </c>
    </row>
    <row r="54">
      <c r="A54" t="n">
        <v>55</v>
      </c>
      <c r="B54" s="47" t="n">
        <v>46302.45818287037</v>
      </c>
      <c r="C54" t="inlineStr">
        <is>
          <t>PAULA LIMAO DE CAMPOS</t>
        </is>
      </c>
      <c r="D54" t="inlineStr">
        <is>
          <t>SIM</t>
        </is>
      </c>
      <c r="E54" t="inlineStr">
        <is>
          <t>exato</t>
        </is>
      </c>
      <c r="F54" t="inlineStr">
        <is>
          <t>PAULA LIMÃO DE CAMPOS</t>
        </is>
      </c>
      <c r="G54" t="n">
        <v>3308</v>
      </c>
      <c r="H54" t="inlineStr">
        <is>
          <t>1º Secretário</t>
        </is>
      </c>
      <c r="I54" t="inlineStr">
        <is>
          <t>SIM</t>
        </is>
      </c>
      <c r="J54" t="inlineStr">
        <is>
          <t>Sim</t>
        </is>
      </c>
    </row>
    <row r="55">
      <c r="A55" t="n">
        <v>56</v>
      </c>
      <c r="B55" s="47" t="n">
        <v>46302.48747685185</v>
      </c>
      <c r="C55" t="inlineStr">
        <is>
          <t>Anabella Alves de Castro</t>
        </is>
      </c>
      <c r="D55" t="inlineStr">
        <is>
          <t>SIM</t>
        </is>
      </c>
      <c r="E55" t="inlineStr">
        <is>
          <t>exato</t>
        </is>
      </c>
      <c r="F55" t="inlineStr">
        <is>
          <t>ANABELLA ALVES DE CASTRO</t>
        </is>
      </c>
      <c r="G55" t="n">
        <v>3142</v>
      </c>
      <c r="H55" t="inlineStr">
        <is>
          <t>1º Mesário</t>
        </is>
      </c>
      <c r="I55" t="inlineStr">
        <is>
          <t>SIM</t>
        </is>
      </c>
      <c r="J55" t="inlineStr">
        <is>
          <t>Sim</t>
        </is>
      </c>
    </row>
    <row r="56">
      <c r="A56" t="n">
        <v>57</v>
      </c>
      <c r="B56" s="47" t="n">
        <v>46302.5540625</v>
      </c>
      <c r="C56" t="inlineStr">
        <is>
          <t>Cintia dos Santos</t>
        </is>
      </c>
      <c r="D56" t="inlineStr">
        <is>
          <t>SIM</t>
        </is>
      </c>
      <c r="E56" t="inlineStr">
        <is>
          <t>exato</t>
        </is>
      </c>
      <c r="F56" t="inlineStr">
        <is>
          <t>CINTIA DOS SANTOS</t>
        </is>
      </c>
      <c r="G56" t="n">
        <v>1160</v>
      </c>
      <c r="H56" t="inlineStr">
        <is>
          <t>1º Secretário</t>
        </is>
      </c>
      <c r="I56" t="inlineStr">
        <is>
          <t>SIM</t>
        </is>
      </c>
      <c r="J56" t="inlineStr">
        <is>
          <t>Sim</t>
        </is>
      </c>
    </row>
    <row r="57">
      <c r="A57" t="n">
        <v>58</v>
      </c>
      <c r="B57" s="47" t="n">
        <v>46302.55709490741</v>
      </c>
      <c r="C57" t="inlineStr">
        <is>
          <t>Thais Terencio Pereira</t>
        </is>
      </c>
      <c r="D57" t="inlineStr">
        <is>
          <t>SIM</t>
        </is>
      </c>
      <c r="E57" t="inlineStr">
        <is>
          <t>exato</t>
        </is>
      </c>
      <c r="F57" t="inlineStr">
        <is>
          <t>THAÍS TERÊNCIO PEREIRA</t>
        </is>
      </c>
      <c r="G57" t="n">
        <v>3311</v>
      </c>
      <c r="H57" t="inlineStr">
        <is>
          <t>1º Secretário</t>
        </is>
      </c>
      <c r="I57" t="inlineStr">
        <is>
          <t>SIM</t>
        </is>
      </c>
      <c r="J57" t="inlineStr">
        <is>
          <t>Sim</t>
        </is>
      </c>
    </row>
    <row r="58">
      <c r="A58" t="n">
        <v>59</v>
      </c>
      <c r="B58" s="47" t="n">
        <v>46302.58087962963</v>
      </c>
      <c r="C58" t="inlineStr">
        <is>
          <t>Fernanda Hermanson Lopes</t>
        </is>
      </c>
      <c r="D58" t="inlineStr">
        <is>
          <t>SIM</t>
        </is>
      </c>
      <c r="E58" t="inlineStr">
        <is>
          <t>equivalência</t>
        </is>
      </c>
      <c r="F58" t="inlineStr">
        <is>
          <t>FERNANDA LIMA HERMANSON CARVALHO LOPES</t>
        </is>
      </c>
      <c r="G58" t="n">
        <v>3108</v>
      </c>
      <c r="H58" t="inlineStr">
        <is>
          <t>Presidente</t>
        </is>
      </c>
      <c r="I58" t="inlineStr">
        <is>
          <t>SIM</t>
        </is>
      </c>
      <c r="J58" t="inlineStr">
        <is>
          <t>Sim</t>
        </is>
      </c>
    </row>
    <row r="59">
      <c r="A59" t="n">
        <v>60</v>
      </c>
      <c r="B59" s="47" t="n">
        <v>46302.64098379629</v>
      </c>
      <c r="C59" t="inlineStr">
        <is>
          <t>Crislaine de souza Almeida</t>
        </is>
      </c>
      <c r="D59" t="inlineStr">
        <is>
          <t>NÃO</t>
        </is>
      </c>
      <c r="E59" t="inlineStr">
        <is>
          <t>exato</t>
        </is>
      </c>
      <c r="F59" t="inlineStr">
        <is>
          <t>CRISLAINE DE SOUZA ALMEIDA</t>
        </is>
      </c>
      <c r="G59" t="n">
        <v>1160</v>
      </c>
      <c r="H59" t="inlineStr">
        <is>
          <t>2º Mesário</t>
        </is>
      </c>
      <c r="I59" t="inlineStr">
        <is>
          <t>SIM</t>
        </is>
      </c>
      <c r="J59" t="inlineStr">
        <is>
          <t>Sim</t>
        </is>
      </c>
    </row>
    <row r="60">
      <c r="A60" t="n">
        <v>61</v>
      </c>
      <c r="B60" s="47" t="n">
        <v>46302.81449074074</v>
      </c>
      <c r="C60" t="inlineStr">
        <is>
          <t>Elton Aparecido Rocha</t>
        </is>
      </c>
      <c r="D60" t="inlineStr">
        <is>
          <t>SIM</t>
        </is>
      </c>
      <c r="E60" t="inlineStr">
        <is>
          <t>exato</t>
        </is>
      </c>
      <c r="F60" t="inlineStr">
        <is>
          <t>ELTON APARECIDO ROCHA</t>
        </is>
      </c>
      <c r="G60" t="n">
        <v>3179</v>
      </c>
      <c r="H60" t="inlineStr">
        <is>
          <t>Presidente</t>
        </is>
      </c>
      <c r="I60" t="inlineStr">
        <is>
          <t>SIM</t>
        </is>
      </c>
      <c r="J60" t="inlineStr">
        <is>
          <t>Sim</t>
        </is>
      </c>
    </row>
    <row r="61">
      <c r="A61" t="n">
        <v>62</v>
      </c>
      <c r="B61" s="47" t="n">
        <v>46302.83568287037</v>
      </c>
      <c r="C61" t="inlineStr">
        <is>
          <t>BRENDA ALVES DA SILVA</t>
        </is>
      </c>
      <c r="D61" t="inlineStr">
        <is>
          <t>SIM</t>
        </is>
      </c>
      <c r="E61" t="inlineStr">
        <is>
          <t>exato</t>
        </is>
      </c>
      <c r="F61" t="inlineStr">
        <is>
          <t>BRENDA ALVES DA SILVA</t>
        </is>
      </c>
      <c r="G61" t="n">
        <v>3322</v>
      </c>
      <c r="H61" t="inlineStr">
        <is>
          <t>1º Mesário</t>
        </is>
      </c>
      <c r="I61" t="inlineStr">
        <is>
          <t>SIM</t>
        </is>
      </c>
      <c r="J61" t="inlineStr">
        <is>
          <t>Sim</t>
        </is>
      </c>
    </row>
    <row r="62">
      <c r="A62" t="n">
        <v>63</v>
      </c>
      <c r="B62" s="47" t="n">
        <v>46302.96736111111</v>
      </c>
      <c r="C62" t="inlineStr">
        <is>
          <t>Luam Duane Andrade Moreira</t>
        </is>
      </c>
      <c r="D62" t="inlineStr">
        <is>
          <t>SIM</t>
        </is>
      </c>
      <c r="E62" t="inlineStr">
        <is>
          <t>exato</t>
        </is>
      </c>
      <c r="F62" t="inlineStr">
        <is>
          <t>LUAM DUANE ANDRADE MOREIRA</t>
        </is>
      </c>
      <c r="G62" t="n">
        <v>3309</v>
      </c>
      <c r="H62" t="inlineStr">
        <is>
          <t>2º Mesário</t>
        </is>
      </c>
      <c r="I62" t="inlineStr">
        <is>
          <t>SIM</t>
        </is>
      </c>
      <c r="J62" t="inlineStr">
        <is>
          <t>Sim</t>
        </is>
      </c>
    </row>
    <row r="63">
      <c r="A63" t="n">
        <v>64</v>
      </c>
      <c r="B63" s="47" t="n">
        <v>46303.39931712963</v>
      </c>
      <c r="C63" t="inlineStr">
        <is>
          <t>Wellington Dos Santos</t>
        </is>
      </c>
      <c r="D63" t="inlineStr">
        <is>
          <t>NÃO</t>
        </is>
      </c>
      <c r="E63" t="inlineStr">
        <is>
          <t>exato</t>
        </is>
      </c>
      <c r="F63" t="inlineStr">
        <is>
          <t>WELLINGTON DOS SANTOS</t>
        </is>
      </c>
      <c r="G63" t="n">
        <v>3054</v>
      </c>
      <c r="H63" t="inlineStr">
        <is>
          <t>1º Mesário</t>
        </is>
      </c>
      <c r="I63" t="inlineStr">
        <is>
          <t>SIM</t>
        </is>
      </c>
      <c r="J63" t="inlineStr">
        <is>
          <t>Sim</t>
        </is>
      </c>
    </row>
    <row r="64">
      <c r="A64" t="n">
        <v>65</v>
      </c>
      <c r="B64" s="47" t="n">
        <v>46303.4815162037</v>
      </c>
      <c r="C64" t="inlineStr">
        <is>
          <t>Emilly Laise Pardo Xavier</t>
        </is>
      </c>
      <c r="D64" t="inlineStr">
        <is>
          <t>SIM</t>
        </is>
      </c>
      <c r="E64" t="inlineStr">
        <is>
          <t>exato</t>
        </is>
      </c>
      <c r="F64" t="inlineStr">
        <is>
          <t>EMILLY LAÍSE PARDO XAVIER</t>
        </is>
      </c>
      <c r="G64" t="n">
        <v>3862</v>
      </c>
      <c r="H64" t="inlineStr">
        <is>
          <t>Presidente</t>
        </is>
      </c>
      <c r="I64" t="inlineStr">
        <is>
          <t>SIM</t>
        </is>
      </c>
      <c r="J64" t="inlineStr">
        <is>
          <t>Sim</t>
        </is>
      </c>
    </row>
    <row r="65">
      <c r="A65" t="n">
        <v>66</v>
      </c>
      <c r="B65" s="47" t="n">
        <v>46303.48215277777</v>
      </c>
      <c r="C65" t="inlineStr">
        <is>
          <t>Mariana Gasparetti McManus</t>
        </is>
      </c>
      <c r="D65" t="inlineStr">
        <is>
          <t>SIM</t>
        </is>
      </c>
      <c r="E65" t="inlineStr">
        <is>
          <t>equivalência</t>
        </is>
      </c>
      <c r="F65" t="inlineStr">
        <is>
          <t>MARIANA JURANDIR GASPARETTI</t>
        </is>
      </c>
      <c r="G65" t="n">
        <v>3245</v>
      </c>
      <c r="H65" t="inlineStr">
        <is>
          <t>Presidente</t>
        </is>
      </c>
      <c r="I65" t="inlineStr">
        <is>
          <t>SIM</t>
        </is>
      </c>
      <c r="J65" t="inlineStr">
        <is>
          <t>Sim</t>
        </is>
      </c>
    </row>
    <row r="66">
      <c r="A66" t="n">
        <v>68</v>
      </c>
      <c r="B66" s="47" t="n">
        <v>46303.71092592592</v>
      </c>
      <c r="C66" t="inlineStr">
        <is>
          <t>Caio Rossiter</t>
        </is>
      </c>
      <c r="D66" t="inlineStr">
        <is>
          <t>SIM</t>
        </is>
      </c>
      <c r="E66" t="inlineStr">
        <is>
          <t>equivalência</t>
        </is>
      </c>
      <c r="F66" t="inlineStr">
        <is>
          <t>CAIO CESAR ROSSITER</t>
        </is>
      </c>
      <c r="G66" t="n">
        <v>512</v>
      </c>
      <c r="H66" t="inlineStr">
        <is>
          <t>1º Mesário</t>
        </is>
      </c>
      <c r="I66" t="inlineStr">
        <is>
          <t>SIM</t>
        </is>
      </c>
      <c r="J66" t="inlineStr">
        <is>
          <t>Não</t>
        </is>
      </c>
      <c r="K66" t="inlineStr">
        <is>
          <t>Duplicada — superada pela resposta seguinte</t>
        </is>
      </c>
    </row>
    <row r="67">
      <c r="A67" t="n">
        <v>69</v>
      </c>
      <c r="B67" s="47" t="n">
        <v>46303.71118055555</v>
      </c>
      <c r="C67" t="inlineStr">
        <is>
          <t>Caio Rossiter</t>
        </is>
      </c>
      <c r="D67" t="inlineStr">
        <is>
          <t>SIM</t>
        </is>
      </c>
      <c r="E67" t="inlineStr">
        <is>
          <t>equivalência</t>
        </is>
      </c>
      <c r="F67" t="inlineStr">
        <is>
          <t>CAIO CESAR ROSSITER</t>
        </is>
      </c>
      <c r="G67" t="n">
        <v>512</v>
      </c>
      <c r="H67" t="inlineStr">
        <is>
          <t>1º Mesário</t>
        </is>
      </c>
      <c r="I67" t="inlineStr">
        <is>
          <t>SIM</t>
        </is>
      </c>
      <c r="J67" t="inlineStr">
        <is>
          <t>Sim</t>
        </is>
      </c>
      <c r="K67" t="inlineStr">
        <is>
          <t>Duplicada — considerada</t>
        </is>
      </c>
    </row>
    <row r="68">
      <c r="A68" t="n">
        <v>70</v>
      </c>
      <c r="B68" s="47" t="n">
        <v>46303.74767361111</v>
      </c>
      <c r="C68" t="inlineStr">
        <is>
          <t>Gilmar Barbosa De Souza</t>
        </is>
      </c>
      <c r="D68" t="inlineStr">
        <is>
          <t>NÃO</t>
        </is>
      </c>
      <c r="E68" t="inlineStr">
        <is>
          <t>exato</t>
        </is>
      </c>
      <c r="F68" t="inlineStr">
        <is>
          <t>GILMAR BARBOSA DE SOUZA</t>
        </is>
      </c>
      <c r="G68" t="n">
        <v>3832</v>
      </c>
      <c r="H68" t="inlineStr">
        <is>
          <t>Presidente</t>
        </is>
      </c>
      <c r="I68" t="inlineStr">
        <is>
          <t>SIM</t>
        </is>
      </c>
      <c r="J68" t="inlineStr">
        <is>
          <t>Sim</t>
        </is>
      </c>
    </row>
    <row r="69">
      <c r="A69" t="n">
        <v>71</v>
      </c>
      <c r="B69" s="47" t="n">
        <v>46304.6096875</v>
      </c>
      <c r="C69" t="inlineStr">
        <is>
          <t>Ivani Batista de Freitas Monteiro</t>
        </is>
      </c>
      <c r="D69" t="inlineStr">
        <is>
          <t>SIM</t>
        </is>
      </c>
      <c r="E69" t="inlineStr">
        <is>
          <t>exato</t>
        </is>
      </c>
      <c r="F69" t="inlineStr">
        <is>
          <t>IVANI BATISTA DE FREITAS MONTEIRO</t>
        </is>
      </c>
      <c r="G69" t="n">
        <v>3862</v>
      </c>
      <c r="H69" t="inlineStr">
        <is>
          <t>1º Secretário</t>
        </is>
      </c>
      <c r="I69" t="inlineStr">
        <is>
          <t>SIM</t>
        </is>
      </c>
      <c r="J69" t="inlineStr">
        <is>
          <t>Sim</t>
        </is>
      </c>
    </row>
    <row r="70">
      <c r="A70" t="n">
        <v>72</v>
      </c>
      <c r="B70" s="47" t="n">
        <v>46305.50826388889</v>
      </c>
      <c r="C70" t="inlineStr">
        <is>
          <t>DANIEL PESSOA CARDEAL</t>
        </is>
      </c>
      <c r="D70" t="inlineStr">
        <is>
          <t>NÃO</t>
        </is>
      </c>
      <c r="E70" t="inlineStr">
        <is>
          <t>exato</t>
        </is>
      </c>
      <c r="F70" t="inlineStr">
        <is>
          <t>DANIEL PESSOA CARDEAL</t>
        </is>
      </c>
      <c r="G70" t="n">
        <v>3313</v>
      </c>
      <c r="H70" t="inlineStr">
        <is>
          <t>2º Mesário</t>
        </is>
      </c>
      <c r="I70" t="inlineStr">
        <is>
          <t>SIM</t>
        </is>
      </c>
      <c r="J70" t="inlineStr">
        <is>
          <t>Sim</t>
        </is>
      </c>
    </row>
    <row r="71">
      <c r="A71" t="n">
        <v>73</v>
      </c>
      <c r="B71" s="47" t="n">
        <v>46305.73805555556</v>
      </c>
      <c r="C71" t="inlineStr">
        <is>
          <t>Diego Mendanha</t>
        </is>
      </c>
      <c r="D71" t="inlineStr">
        <is>
          <t>SIM</t>
        </is>
      </c>
      <c r="E71" t="inlineStr">
        <is>
          <t>equivalência</t>
        </is>
      </c>
      <c r="F71" t="inlineStr">
        <is>
          <t>DIEGO MENDANHA DA SILVA MAIA</t>
        </is>
      </c>
      <c r="G71" t="n">
        <v>3688</v>
      </c>
      <c r="H71" t="inlineStr">
        <is>
          <t>2º Mesário</t>
        </is>
      </c>
      <c r="I71" t="inlineStr">
        <is>
          <t>SIM</t>
        </is>
      </c>
      <c r="J71" t="inlineStr">
        <is>
          <t>Sim</t>
        </is>
      </c>
    </row>
    <row r="72">
      <c r="A72" t="n">
        <v>74</v>
      </c>
      <c r="B72" s="47" t="n">
        <v>46306.72105324074</v>
      </c>
      <c r="C72" t="inlineStr">
        <is>
          <t>Cinthia Rodrigues de Almeida</t>
        </is>
      </c>
      <c r="D72" t="inlineStr">
        <is>
          <t>SIM</t>
        </is>
      </c>
      <c r="E72" t="inlineStr">
        <is>
          <t>exato</t>
        </is>
      </c>
      <c r="F72" t="inlineStr">
        <is>
          <t>CINTHIA RODRIGUES DE ALMEIDA</t>
        </is>
      </c>
      <c r="G72" t="n">
        <v>517</v>
      </c>
      <c r="H72" t="inlineStr">
        <is>
          <t>1º Mesário</t>
        </is>
      </c>
      <c r="I72" t="inlineStr">
        <is>
          <t>SIM</t>
        </is>
      </c>
      <c r="J72" t="inlineStr">
        <is>
          <t>Sim</t>
        </is>
      </c>
    </row>
    <row r="73">
      <c r="A73" t="n">
        <v>75</v>
      </c>
      <c r="B73" s="47" t="n">
        <v>46306.86717592592</v>
      </c>
      <c r="C73" t="inlineStr">
        <is>
          <t>Lauro Silva Ramos</t>
        </is>
      </c>
      <c r="D73" t="inlineStr">
        <is>
          <t>NÃO</t>
        </is>
      </c>
      <c r="E73" t="inlineStr">
        <is>
          <t>exato</t>
        </is>
      </c>
      <c r="F73" t="inlineStr">
        <is>
          <t>LAURO SILVA RAMOS</t>
        </is>
      </c>
      <c r="G73" t="n">
        <v>3688</v>
      </c>
      <c r="H73" t="inlineStr">
        <is>
          <t>1º Secretário</t>
        </is>
      </c>
      <c r="I73" t="inlineStr">
        <is>
          <t>SIM</t>
        </is>
      </c>
      <c r="J73" t="inlineStr">
        <is>
          <t>Sim</t>
        </is>
      </c>
    </row>
    <row r="75" ht="45" customHeight="1">
      <c r="A75" s="46" t="inlineStr">
        <is>
          <t>Fonte: formulário 'CONFIRMAÇÃO DE PARTICIPAÇÃO (MESÁRIOS) — SEGUNDO TURNO DAS ELEIÇÕES DE 2026 EM DUBLIN', respostas 1–75 (anônimo: só o nome digitado). Casamento 'exato' = mesmo nome sem acento/caixa; 'equivalência' = nome parcial ou com erro, conferido à mão (tabela EQUIVALENCIAS do script). Quem respondeu mais de uma vez: vale a última resposta.</t>
        </is>
      </c>
    </row>
  </sheetData>
  <mergeCells count="1">
    <mergeCell ref="A75:K75"/>
  </mergeCells>
  <conditionalFormatting sqref="A2:K73">
    <cfRule type="expression" priority="1" dxfId="30">
      <formula>$E2="sem correspondência"</formula>
    </cfRule>
    <cfRule type="expression" priority="2" dxfId="29">
      <formula>LEFT($K2,8)="CONFLITO"</formula>
    </cfRule>
    <cfRule type="expression" priority="3" dxfId="36">
      <formula>$J2="Não"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2"/>
  <sheetViews>
    <sheetView tabSelected="0" topLeftCell="D1" zoomScaleNormal="100" workbookViewId="0">
      <pane ySplit="1" topLeftCell="A6" activePane="bottomLeft" state="frozen"/>
      <selection pane="bottomLeft" activeCell="G93" sqref="G93"/>
    </sheetView>
  </sheetViews>
  <sheetFormatPr baseColWidth="8" defaultColWidth="8.7109375" defaultRowHeight="15"/>
  <cols>
    <col width="9" customWidth="1" min="1" max="1"/>
    <col width="15" customWidth="1" min="2" max="2"/>
    <col width="46" customWidth="1" min="3" max="3"/>
    <col width="49.140625" customWidth="1" min="4" max="4"/>
    <col width="19.42578125" customWidth="1" min="5" max="5"/>
    <col width="18" customWidth="1" min="6" max="6"/>
    <col width="16" customWidth="1" min="7" max="8"/>
    <col width="18" customWidth="1" min="9" max="9"/>
    <col width="11" customWidth="1" min="10" max="10"/>
    <col width="26" customWidth="1" min="11" max="11"/>
    <col width="38" customWidth="1" min="12" max="12"/>
    <col width="13" customWidth="1" min="13" max="13"/>
    <col width="44" customWidth="1" min="14" max="14"/>
    <col width="60" customWidth="1" min="15" max="15"/>
    <col width="16" customWidth="1" min="16" max="16"/>
    <col width="14" customWidth="1" min="17" max="17"/>
    <col width="60" customWidth="1" min="18" max="18"/>
  </cols>
  <sheetData>
    <row r="1" ht="45" customHeight="1">
      <c r="A1" s="7" t="inlineStr">
        <is>
          <t>Seção</t>
        </is>
      </c>
      <c r="B1" s="7" t="inlineStr">
        <is>
          <t>Função</t>
        </is>
      </c>
      <c r="C1" s="7" t="inlineStr">
        <is>
          <t>E-mail</t>
        </is>
      </c>
      <c r="D1" s="7" t="inlineStr">
        <is>
          <t>Nome</t>
        </is>
      </c>
      <c r="E1" s="8" t="inlineStr">
        <is>
          <t>Presença (planilha original)</t>
        </is>
      </c>
      <c r="F1" s="9" t="inlineStr">
        <is>
          <t>Chave (auxiliar)</t>
        </is>
      </c>
      <c r="G1" s="8" t="inlineStr">
        <is>
          <t>Título de eleitor</t>
        </is>
      </c>
      <c r="H1" s="8" t="inlineStr">
        <is>
          <t>Sit. mesário (Elo 30/09)</t>
        </is>
      </c>
      <c r="I1" s="8" t="inlineStr">
        <is>
          <t>Resposta (Elo 30/09)</t>
        </is>
      </c>
      <c r="J1" s="8" t="inlineStr">
        <is>
          <t>Edital</t>
        </is>
      </c>
      <c r="K1" s="8" t="inlineStr">
        <is>
          <t>Abertura (boletim)</t>
        </is>
      </c>
      <c r="L1" s="8" t="inlineStr">
        <is>
          <t>Fechamento (boletim)</t>
        </is>
      </c>
      <c r="M1" s="8" t="inlineStr">
        <is>
          <t>Presença consolidada</t>
        </is>
      </c>
      <c r="N1" s="8" t="inlineStr">
        <is>
          <t>Conferência × coluna Presença original</t>
        </is>
      </c>
      <c r="O1" s="8" t="inlineStr">
        <is>
          <t>Observação</t>
        </is>
      </c>
      <c r="P1" s="8" t="inlineStr">
        <is>
          <t>Resposta 2º turno</t>
        </is>
      </c>
      <c r="Q1" s="8" t="inlineStr">
        <is>
          <t>ID(s) no formulário</t>
        </is>
      </c>
      <c r="R1" s="8" t="inlineStr">
        <is>
          <t>Observação 2º turno</t>
        </is>
      </c>
    </row>
    <row r="2">
      <c r="A2" s="10" t="n">
        <v>511</v>
      </c>
      <c r="B2" s="2" t="inlineStr">
        <is>
          <t>Presidente</t>
        </is>
      </c>
      <c r="C2" s="11" t="inlineStr">
        <is>
          <t>Felipegustavo.ie@outlook.com</t>
        </is>
      </c>
      <c r="D2" s="2" t="inlineStr">
        <is>
          <t>FELIPE PEREIRA DE SOUZA GUSTAVO</t>
        </is>
      </c>
      <c r="E2" s="2" t="inlineStr">
        <is>
          <t>SIM</t>
        </is>
      </c>
      <c r="F2" s="12">
        <f>A2&amp;"|"&amp;B2</f>
        <v/>
      </c>
      <c r="G2" s="13" t="inlineStr">
        <is>
          <t>221940340213</t>
        </is>
      </c>
      <c r="H2" s="2" t="inlineStr">
        <is>
          <t>Nomeado</t>
        </is>
      </c>
      <c r="I2" s="2" t="inlineStr">
        <is>
          <t>Confirmado</t>
        </is>
      </c>
      <c r="J2" s="2" t="inlineStr">
        <is>
          <t>0006/2026</t>
        </is>
      </c>
      <c r="K2" s="2" t="inlineStr">
        <is>
          <t>Sim</t>
        </is>
      </c>
      <c r="L2" s="2" t="inlineStr">
        <is>
          <t>Assinou</t>
        </is>
      </c>
      <c r="M2" s="2" t="inlineStr">
        <is>
          <t>SIM</t>
        </is>
      </c>
      <c r="N2" s="2" t="inlineStr">
        <is>
          <t>OK</t>
        </is>
      </c>
      <c r="O2" s="2" t="n"/>
      <c r="P2" t="inlineStr">
        <is>
          <t>Sem resposta</t>
        </is>
      </c>
      <c r="Q2" t="inlineStr">
        <is>
          <t>—</t>
        </is>
      </c>
    </row>
    <row r="3">
      <c r="A3" s="10" t="n">
        <v>511</v>
      </c>
      <c r="B3" s="2" t="inlineStr">
        <is>
          <t>1º Mesário</t>
        </is>
      </c>
      <c r="C3" s="11" t="inlineStr">
        <is>
          <t>Ericcount19@hotmail.com</t>
        </is>
      </c>
      <c r="D3" s="2" t="inlineStr">
        <is>
          <t>ERIC DA SILVA MEDEIROS</t>
        </is>
      </c>
      <c r="E3" s="2" t="inlineStr">
        <is>
          <t>SIM</t>
        </is>
      </c>
      <c r="F3" s="12">
        <f>A3&amp;"|"&amp;B3</f>
        <v/>
      </c>
      <c r="G3" s="13" t="inlineStr">
        <is>
          <t>087303060701</t>
        </is>
      </c>
      <c r="H3" s="2" t="inlineStr">
        <is>
          <t>Nomeado</t>
        </is>
      </c>
      <c r="I3" s="2" t="inlineStr">
        <is>
          <t>Confirmado</t>
        </is>
      </c>
      <c r="J3" s="2" t="inlineStr">
        <is>
          <t>0006/2026</t>
        </is>
      </c>
      <c r="K3" s="2" t="inlineStr">
        <is>
          <t>Sim</t>
        </is>
      </c>
      <c r="L3" s="2" t="inlineStr">
        <is>
          <t>Assinou</t>
        </is>
      </c>
      <c r="M3" s="2" t="inlineStr">
        <is>
          <t>SIM</t>
        </is>
      </c>
      <c r="N3" s="2" t="inlineStr">
        <is>
          <t>OK</t>
        </is>
      </c>
      <c r="O3" s="2" t="n"/>
      <c r="P3" t="inlineStr">
        <is>
          <t>Sem resposta</t>
        </is>
      </c>
      <c r="Q3" t="inlineStr">
        <is>
          <t>—</t>
        </is>
      </c>
    </row>
    <row r="4">
      <c r="A4" s="10" t="n">
        <v>511</v>
      </c>
      <c r="B4" s="2" t="inlineStr">
        <is>
          <t>2º Mesário</t>
        </is>
      </c>
      <c r="C4" s="11" t="inlineStr">
        <is>
          <t>ludmilamaiamaciel@gmail.com</t>
        </is>
      </c>
      <c r="D4" s="2" t="inlineStr">
        <is>
          <t>LUDMILA MAIA MACIEL</t>
        </is>
      </c>
      <c r="E4" s="2" t="inlineStr">
        <is>
          <t>SIM</t>
        </is>
      </c>
      <c r="F4" s="12">
        <f>A4&amp;"|"&amp;B4</f>
        <v/>
      </c>
      <c r="G4" s="13" t="inlineStr">
        <is>
          <t>175842820256</t>
        </is>
      </c>
      <c r="H4" s="2" t="inlineStr">
        <is>
          <t>Nomeado</t>
        </is>
      </c>
      <c r="I4" s="2" t="inlineStr">
        <is>
          <t>Confirmado</t>
        </is>
      </c>
      <c r="J4" s="2" t="inlineStr">
        <is>
          <t>0006/2026</t>
        </is>
      </c>
      <c r="K4" s="2" t="inlineStr">
        <is>
          <t>Sim, também na urna 3442</t>
        </is>
      </c>
      <c r="L4" s="2" t="inlineStr">
        <is>
          <t>Assinou (urna 3442)</t>
        </is>
      </c>
      <c r="M4" s="2" t="inlineStr">
        <is>
          <t>SIM</t>
        </is>
      </c>
      <c r="N4" s="2" t="inlineStr">
        <is>
          <t>OK</t>
        </is>
      </c>
      <c r="O4" s="2" t="inlineStr">
        <is>
          <t>Aparece também em boletim de outra urna</t>
        </is>
      </c>
      <c r="P4" t="inlineStr">
        <is>
          <t>Sem resposta</t>
        </is>
      </c>
      <c r="Q4" t="inlineStr">
        <is>
          <t>—</t>
        </is>
      </c>
    </row>
    <row r="5">
      <c r="A5" s="10" t="n">
        <v>511</v>
      </c>
      <c r="B5" s="2" t="inlineStr">
        <is>
          <t>1º Secretário</t>
        </is>
      </c>
      <c r="C5" s="11" t="inlineStr">
        <is>
          <t>beabertocco@gmail.com</t>
        </is>
      </c>
      <c r="D5" s="2" t="inlineStr">
        <is>
          <t>BEATRIZ CARACANHA BERTOCCO</t>
        </is>
      </c>
      <c r="E5" s="2" t="inlineStr">
        <is>
          <t>SIM</t>
        </is>
      </c>
      <c r="F5" s="12">
        <f>A5&amp;"|"&amp;B5</f>
        <v/>
      </c>
      <c r="G5" s="13" t="inlineStr">
        <is>
          <t>087118000698</t>
        </is>
      </c>
      <c r="H5" s="2" t="inlineStr">
        <is>
          <t>Nomeado</t>
        </is>
      </c>
      <c r="I5" s="2" t="inlineStr">
        <is>
          <t>Confirmado</t>
        </is>
      </c>
      <c r="J5" s="2" t="inlineStr">
        <is>
          <t>0006/2026</t>
        </is>
      </c>
      <c r="K5" s="2" t="inlineStr">
        <is>
          <t>Sim</t>
        </is>
      </c>
      <c r="L5" s="2" t="inlineStr">
        <is>
          <t>Assinou</t>
        </is>
      </c>
      <c r="M5" s="2" t="inlineStr">
        <is>
          <t>SIM</t>
        </is>
      </c>
      <c r="N5" s="2" t="inlineStr">
        <is>
          <t>OK</t>
        </is>
      </c>
      <c r="O5" s="2" t="n"/>
      <c r="P5" t="inlineStr">
        <is>
          <t>Confirmado</t>
        </is>
      </c>
      <c r="Q5" t="inlineStr">
        <is>
          <t>29</t>
        </is>
      </c>
    </row>
    <row r="6">
      <c r="A6" s="10" t="n">
        <v>512</v>
      </c>
      <c r="B6" s="2" t="inlineStr">
        <is>
          <t>Presidente</t>
        </is>
      </c>
      <c r="C6" s="11" t="inlineStr">
        <is>
          <t>anaclaudiamazurok@gmail.com</t>
        </is>
      </c>
      <c r="D6" s="2" t="inlineStr">
        <is>
          <t>ANA CLAUDIA MAZUROK</t>
        </is>
      </c>
      <c r="E6" s="2" t="inlineStr">
        <is>
          <t>NAO</t>
        </is>
      </c>
      <c r="F6" s="12">
        <f>A6&amp;"|"&amp;B6</f>
        <v/>
      </c>
      <c r="G6" s="13" t="inlineStr">
        <is>
          <t>017860252038</t>
        </is>
      </c>
      <c r="H6" s="2" t="inlineStr">
        <is>
          <t>Convocado</t>
        </is>
      </c>
      <c r="I6" s="2" t="inlineStr">
        <is>
          <t>Sem resposta</t>
        </is>
      </c>
      <c r="J6" s="2" t="inlineStr">
        <is>
          <t>-</t>
        </is>
      </c>
      <c r="K6" s="2" t="inlineStr">
        <is>
          <t>Não</t>
        </is>
      </c>
      <c r="L6" s="2" t="inlineStr">
        <is>
          <t>Não consta</t>
        </is>
      </c>
      <c r="M6" s="2" t="inlineStr">
        <is>
          <t>NAO</t>
        </is>
      </c>
      <c r="N6" s="2" t="inlineStr">
        <is>
          <t>OK</t>
        </is>
      </c>
      <c r="O6" s="2" t="n"/>
      <c r="P6" t="inlineStr">
        <is>
          <t>Sem resposta</t>
        </is>
      </c>
      <c r="Q6" t="inlineStr">
        <is>
          <t>—</t>
        </is>
      </c>
    </row>
    <row r="7">
      <c r="A7" s="10" t="n">
        <v>512</v>
      </c>
      <c r="B7" s="2" t="inlineStr">
        <is>
          <t>1º Mesário</t>
        </is>
      </c>
      <c r="C7" s="11" t="inlineStr">
        <is>
          <t>caiorossiter@gmail.com</t>
        </is>
      </c>
      <c r="D7" s="2" t="inlineStr">
        <is>
          <t>CAIO CESAR ROSSITER</t>
        </is>
      </c>
      <c r="E7" s="2" t="inlineStr">
        <is>
          <t>SIM</t>
        </is>
      </c>
      <c r="F7" s="12">
        <f>A7&amp;"|"&amp;B7</f>
        <v/>
      </c>
      <c r="G7" s="13" t="inlineStr">
        <is>
          <t>024563471619</t>
        </is>
      </c>
      <c r="H7" s="2" t="inlineStr">
        <is>
          <t>Nomeado</t>
        </is>
      </c>
      <c r="I7" s="2" t="inlineStr">
        <is>
          <t>Confirmado</t>
        </is>
      </c>
      <c r="J7" s="2" t="inlineStr">
        <is>
          <t>0006/2026</t>
        </is>
      </c>
      <c r="K7" s="2" t="inlineStr">
        <is>
          <t>Sim</t>
        </is>
      </c>
      <c r="L7" s="2" t="inlineStr">
        <is>
          <t>Assinou</t>
        </is>
      </c>
      <c r="M7" s="2" t="inlineStr">
        <is>
          <t>SIM</t>
        </is>
      </c>
      <c r="N7" s="2" t="inlineStr">
        <is>
          <t>OK</t>
        </is>
      </c>
      <c r="O7" s="2" t="n"/>
      <c r="P7" t="inlineStr">
        <is>
          <t>Confirmado</t>
        </is>
      </c>
      <c r="Q7" t="inlineStr">
        <is>
          <t>68, 69</t>
        </is>
      </c>
      <c r="R7" t="inlineStr">
        <is>
          <t>Respondeu 2 vezes, mesma resposta</t>
        </is>
      </c>
    </row>
    <row r="8">
      <c r="A8" s="10" t="n">
        <v>512</v>
      </c>
      <c r="B8" s="2" t="inlineStr">
        <is>
          <t>2º Mesário</t>
        </is>
      </c>
      <c r="C8" s="11" t="inlineStr">
        <is>
          <t>camilamouramartins1987@gmail.com</t>
        </is>
      </c>
      <c r="D8" s="2" t="inlineStr">
        <is>
          <t>CAMILA MOURA MARTINS</t>
        </is>
      </c>
      <c r="E8" s="2" t="inlineStr">
        <is>
          <t>SIM</t>
        </is>
      </c>
      <c r="F8" s="12">
        <f>A8&amp;"|"&amp;B8</f>
        <v/>
      </c>
      <c r="G8" s="13" t="inlineStr">
        <is>
          <t>339405340116</t>
        </is>
      </c>
      <c r="H8" s="2" t="inlineStr">
        <is>
          <t>Nomeado</t>
        </is>
      </c>
      <c r="I8" s="2" t="inlineStr">
        <is>
          <t>Confirmado</t>
        </is>
      </c>
      <c r="J8" s="2" t="inlineStr">
        <is>
          <t>0006/2026</t>
        </is>
      </c>
      <c r="K8" s="2" t="inlineStr">
        <is>
          <t>Sim</t>
        </is>
      </c>
      <c r="L8" s="2" t="inlineStr">
        <is>
          <t>Assinou</t>
        </is>
      </c>
      <c r="M8" s="2" t="inlineStr">
        <is>
          <t>SIM</t>
        </is>
      </c>
      <c r="N8" s="2" t="inlineStr">
        <is>
          <t>OK</t>
        </is>
      </c>
      <c r="O8" s="2" t="n"/>
      <c r="P8" t="inlineStr">
        <is>
          <t>Confirmado</t>
        </is>
      </c>
      <c r="Q8" t="inlineStr">
        <is>
          <t>19</t>
        </is>
      </c>
    </row>
    <row r="9">
      <c r="A9" s="10" t="n">
        <v>512</v>
      </c>
      <c r="B9" s="2" t="inlineStr">
        <is>
          <t>1º Secretário</t>
        </is>
      </c>
      <c r="C9" s="11" t="inlineStr">
        <is>
          <t>tbbfelix@gmail.com</t>
        </is>
      </c>
      <c r="D9" s="2" t="inlineStr">
        <is>
          <t>THAISA BERNARDES BUENO FELIX</t>
        </is>
      </c>
      <c r="E9" s="2" t="inlineStr">
        <is>
          <t>SIM</t>
        </is>
      </c>
      <c r="F9" s="12">
        <f>A9&amp;"|"&amp;B9</f>
        <v/>
      </c>
      <c r="G9" s="13" t="inlineStr">
        <is>
          <t>437733520116</t>
        </is>
      </c>
      <c r="H9" s="2" t="inlineStr">
        <is>
          <t>Nomeado</t>
        </is>
      </c>
      <c r="I9" s="2" t="inlineStr">
        <is>
          <t>Confirmado</t>
        </is>
      </c>
      <c r="J9" s="2" t="inlineStr">
        <is>
          <t>0006/2026</t>
        </is>
      </c>
      <c r="K9" s="2" t="inlineStr">
        <is>
          <t>Não</t>
        </is>
      </c>
      <c r="L9" s="2" t="inlineStr">
        <is>
          <t>Não consta</t>
        </is>
      </c>
      <c r="M9" s="2" t="inlineStr">
        <is>
          <t>NAO</t>
        </is>
      </c>
      <c r="N9" s="2" t="inlineStr">
        <is>
          <t>Planilha SIM, mas ausente nos boletins</t>
        </is>
      </c>
      <c r="O9" s="2" t="inlineStr">
        <is>
          <t>Elo: Confirmado em 30/09, mas não consta em nenhum boletim</t>
        </is>
      </c>
      <c r="P9" t="inlineStr">
        <is>
          <t>Sem resposta</t>
        </is>
      </c>
      <c r="Q9" t="inlineStr">
        <is>
          <t>—</t>
        </is>
      </c>
    </row>
    <row r="10">
      <c r="A10" s="10" t="n">
        <v>513</v>
      </c>
      <c r="B10" s="2" t="inlineStr">
        <is>
          <t>Presidente</t>
        </is>
      </c>
      <c r="C10" s="11" t="inlineStr">
        <is>
          <t>bianca.goulart@itamaraty.gov.br</t>
        </is>
      </c>
      <c r="D10" s="2" t="inlineStr">
        <is>
          <t>BIANCA ARAGONE RODRIGUES GOULART</t>
        </is>
      </c>
      <c r="E10" s="2" t="inlineStr">
        <is>
          <t>SIM</t>
        </is>
      </c>
      <c r="F10" s="12">
        <f>A10&amp;"|"&amp;B10</f>
        <v/>
      </c>
      <c r="G10" s="13" t="inlineStr">
        <is>
          <t>354520980191</t>
        </is>
      </c>
      <c r="H10" s="2" t="inlineStr">
        <is>
          <t>Nomeado</t>
        </is>
      </c>
      <c r="I10" s="2" t="inlineStr">
        <is>
          <t>Sem resposta</t>
        </is>
      </c>
      <c r="J10" s="2" t="inlineStr">
        <is>
          <t>0006/2026</t>
        </is>
      </c>
      <c r="K10" s="2" t="inlineStr">
        <is>
          <t>Não</t>
        </is>
      </c>
      <c r="L10" s="2" t="inlineStr">
        <is>
          <t>Não consta</t>
        </is>
      </c>
      <c r="M10" s="2" t="inlineStr">
        <is>
          <t>NAO</t>
        </is>
      </c>
      <c r="N10" s="2" t="inlineStr">
        <is>
          <t>Planilha SIM, mas ausente nos boletins</t>
        </is>
      </c>
      <c r="O10" s="2" t="n"/>
      <c r="P10" t="inlineStr">
        <is>
          <t>Sem resposta</t>
        </is>
      </c>
      <c r="Q10" t="inlineStr">
        <is>
          <t>—</t>
        </is>
      </c>
    </row>
    <row r="11">
      <c r="A11" s="10" t="n">
        <v>513</v>
      </c>
      <c r="B11" s="2" t="inlineStr">
        <is>
          <t>1º Mesário</t>
        </is>
      </c>
      <c r="C11" s="11" t="inlineStr">
        <is>
          <t>Luizsmania1@gmail.com</t>
        </is>
      </c>
      <c r="D11" s="2" t="inlineStr">
        <is>
          <t>LUIZ HENRIQUE DE SOUSA SMANIA</t>
        </is>
      </c>
      <c r="E11" s="2" t="inlineStr">
        <is>
          <t>SIM</t>
        </is>
      </c>
      <c r="F11" s="12">
        <f>A11&amp;"|"&amp;B11</f>
        <v/>
      </c>
      <c r="G11" s="13" t="inlineStr">
        <is>
          <t>459992490108</t>
        </is>
      </c>
      <c r="H11" s="2" t="inlineStr">
        <is>
          <t>Nomeado</t>
        </is>
      </c>
      <c r="I11" s="2" t="inlineStr">
        <is>
          <t>Confirmado</t>
        </is>
      </c>
      <c r="J11" s="2" t="inlineStr">
        <is>
          <t>0006/2026</t>
        </is>
      </c>
      <c r="K11" s="2" t="inlineStr">
        <is>
          <t>Sim</t>
        </is>
      </c>
      <c r="L11" s="2" t="inlineStr">
        <is>
          <t>Assinou</t>
        </is>
      </c>
      <c r="M11" s="2" t="inlineStr">
        <is>
          <t>SIM</t>
        </is>
      </c>
      <c r="N11" s="2" t="inlineStr">
        <is>
          <t>OK</t>
        </is>
      </c>
      <c r="O11" s="2" t="n"/>
      <c r="P11" t="inlineStr">
        <is>
          <t>Confirmado</t>
        </is>
      </c>
      <c r="Q11" t="inlineStr">
        <is>
          <t>51</t>
        </is>
      </c>
    </row>
    <row r="12">
      <c r="A12" s="10" t="n">
        <v>513</v>
      </c>
      <c r="B12" s="2" t="inlineStr">
        <is>
          <t>2º Mesário</t>
        </is>
      </c>
      <c r="C12" s="11" t="inlineStr">
        <is>
          <t>isabelabattisti@gmail.com</t>
        </is>
      </c>
      <c r="D12" s="2" t="inlineStr">
        <is>
          <t>ISABELA FERNANDES BATTISTI PETRIS</t>
        </is>
      </c>
      <c r="E12" s="2" t="inlineStr">
        <is>
          <t>SIM</t>
        </is>
      </c>
      <c r="F12" s="12">
        <f>A12&amp;"|"&amp;B12</f>
        <v/>
      </c>
      <c r="G12" s="13" t="inlineStr">
        <is>
          <t>467362570124</t>
        </is>
      </c>
      <c r="H12" s="2" t="inlineStr">
        <is>
          <t>Nomeado</t>
        </is>
      </c>
      <c r="I12" s="2" t="inlineStr">
        <is>
          <t>Sem resposta</t>
        </is>
      </c>
      <c r="J12" s="2" t="inlineStr">
        <is>
          <t>0006/2026</t>
        </is>
      </c>
      <c r="K12" s="2" t="inlineStr">
        <is>
          <t>Sim</t>
        </is>
      </c>
      <c r="L12" s="2" t="inlineStr">
        <is>
          <t>Assinou</t>
        </is>
      </c>
      <c r="M12" s="2" t="inlineStr">
        <is>
          <t>SIM</t>
        </is>
      </c>
      <c r="N12" s="2" t="inlineStr">
        <is>
          <t>OK</t>
        </is>
      </c>
      <c r="O12" s="2" t="inlineStr">
        <is>
          <t>Elo: Sem resposta em 30/09, mas compareceu</t>
        </is>
      </c>
      <c r="P12" t="inlineStr">
        <is>
          <t>Sem resposta</t>
        </is>
      </c>
      <c r="Q12" t="inlineStr">
        <is>
          <t>—</t>
        </is>
      </c>
    </row>
    <row r="13">
      <c r="A13" s="10" t="n">
        <v>513</v>
      </c>
      <c r="B13" s="2" t="inlineStr">
        <is>
          <t>1º Secretário</t>
        </is>
      </c>
      <c r="C13" s="11" t="inlineStr">
        <is>
          <t>aline.barros@outlook.com</t>
        </is>
      </c>
      <c r="D13" s="2" t="inlineStr">
        <is>
          <t>ALINE BARROS DE LIRA</t>
        </is>
      </c>
      <c r="E13" s="2" t="inlineStr">
        <is>
          <t>NAO</t>
        </is>
      </c>
      <c r="F13" s="12">
        <f>A13&amp;"|"&amp;B13</f>
        <v/>
      </c>
      <c r="G13" s="13" t="inlineStr">
        <is>
          <t>270991160167</t>
        </is>
      </c>
      <c r="H13" s="2" t="inlineStr">
        <is>
          <t>Convocado</t>
        </is>
      </c>
      <c r="I13" s="2" t="inlineStr">
        <is>
          <t>Sem resposta</t>
        </is>
      </c>
      <c r="J13" s="2" t="inlineStr">
        <is>
          <t>-</t>
        </is>
      </c>
      <c r="K13" s="2" t="inlineStr">
        <is>
          <t>Não</t>
        </is>
      </c>
      <c r="L13" s="2" t="inlineStr">
        <is>
          <t>Não consta</t>
        </is>
      </c>
      <c r="M13" s="2" t="inlineStr">
        <is>
          <t>NAO</t>
        </is>
      </c>
      <c r="N13" s="2" t="inlineStr">
        <is>
          <t>OK</t>
        </is>
      </c>
      <c r="O13" s="2" t="n"/>
      <c r="P13" t="inlineStr">
        <is>
          <t>Sem resposta</t>
        </is>
      </c>
      <c r="Q13" t="inlineStr">
        <is>
          <t>—</t>
        </is>
      </c>
    </row>
    <row r="14">
      <c r="A14" s="10" t="n">
        <v>517</v>
      </c>
      <c r="B14" s="2" t="inlineStr">
        <is>
          <t>Presidente</t>
        </is>
      </c>
      <c r="C14" s="11" t="inlineStr">
        <is>
          <t>DAIANELEALG@GMAIL.COM</t>
        </is>
      </c>
      <c r="D14" s="2" t="inlineStr">
        <is>
          <t>DAIANE LEAL GOMES</t>
        </is>
      </c>
      <c r="E14" s="2" t="inlineStr">
        <is>
          <t>SIM</t>
        </is>
      </c>
      <c r="F14" s="12">
        <f>A14&amp;"|"&amp;B14</f>
        <v/>
      </c>
      <c r="G14" s="13" t="inlineStr">
        <is>
          <t>175857340221</t>
        </is>
      </c>
      <c r="H14" s="2" t="inlineStr">
        <is>
          <t>Nomeado</t>
        </is>
      </c>
      <c r="I14" s="2" t="inlineStr">
        <is>
          <t>Confirmado</t>
        </is>
      </c>
      <c r="J14" s="2" t="inlineStr">
        <is>
          <t>0006/2026</t>
        </is>
      </c>
      <c r="K14" s="2" t="inlineStr">
        <is>
          <t>Sim</t>
        </is>
      </c>
      <c r="L14" s="2" t="inlineStr">
        <is>
          <t>Não consta</t>
        </is>
      </c>
      <c r="M14" s="2" t="inlineStr">
        <is>
          <t>SIM</t>
        </is>
      </c>
      <c r="N14" s="2" t="inlineStr">
        <is>
          <t>OK</t>
        </is>
      </c>
      <c r="O14" s="2" t="n"/>
      <c r="P14" t="inlineStr">
        <is>
          <t>Confirmado</t>
        </is>
      </c>
      <c r="Q14" t="inlineStr">
        <is>
          <t>30, 35</t>
        </is>
      </c>
      <c r="R14" t="inlineStr">
        <is>
          <t>Respondeu 2 vezes, mesma resposta</t>
        </is>
      </c>
    </row>
    <row r="15">
      <c r="A15" s="10" t="n">
        <v>517</v>
      </c>
      <c r="B15" s="2" t="inlineStr">
        <is>
          <t>1º Mesário</t>
        </is>
      </c>
      <c r="C15" s="11" t="inlineStr">
        <is>
          <t>cinthia_ralmeida2@hotmail.com</t>
        </is>
      </c>
      <c r="D15" s="2" t="inlineStr">
        <is>
          <t>CINTHIA RODRIGUES DE ALMEIDA</t>
        </is>
      </c>
      <c r="E15" s="2" t="inlineStr">
        <is>
          <t>SIM</t>
        </is>
      </c>
      <c r="F15" s="12">
        <f>A15&amp;"|"&amp;B15</f>
        <v/>
      </c>
      <c r="G15" s="13" t="inlineStr">
        <is>
          <t>354752050175</t>
        </is>
      </c>
      <c r="H15" s="2" t="inlineStr">
        <is>
          <t>Convocado</t>
        </is>
      </c>
      <c r="I15" s="2" t="inlineStr">
        <is>
          <t>Sem resposta</t>
        </is>
      </c>
      <c r="J15" s="2" t="inlineStr">
        <is>
          <t>-</t>
        </is>
      </c>
      <c r="K15" s="2" t="inlineStr">
        <is>
          <t>Sim</t>
        </is>
      </c>
      <c r="L15" s="2" t="inlineStr">
        <is>
          <t>Assinou</t>
        </is>
      </c>
      <c r="M15" s="2" t="inlineStr">
        <is>
          <t>SIM</t>
        </is>
      </c>
      <c r="N15" s="2" t="inlineStr">
        <is>
          <t>OK</t>
        </is>
      </c>
      <c r="O15" s="2" t="inlineStr">
        <is>
          <t>Elo: Sem resposta em 30/09, mas compareceu</t>
        </is>
      </c>
      <c r="P15" t="inlineStr">
        <is>
          <t>Confirmado</t>
        </is>
      </c>
      <c r="Q15" t="inlineStr">
        <is>
          <t>74</t>
        </is>
      </c>
    </row>
    <row r="16">
      <c r="A16" s="10" t="n">
        <v>517</v>
      </c>
      <c r="B16" s="2" t="inlineStr">
        <is>
          <t>2º Mesário</t>
        </is>
      </c>
      <c r="C16" s="11" t="inlineStr">
        <is>
          <t xml:space="preserve">rafaelrodrigues2011@gmail.com </t>
        </is>
      </c>
      <c r="D16" s="2" t="inlineStr">
        <is>
          <t>RAFAEL DRUMMOND RODRIGUES</t>
        </is>
      </c>
      <c r="E16" s="2" t="inlineStr">
        <is>
          <t>SIM</t>
        </is>
      </c>
      <c r="F16" s="12">
        <f>A16&amp;"|"&amp;B16</f>
        <v/>
      </c>
      <c r="G16" s="13" t="inlineStr">
        <is>
          <t>196716430281</t>
        </is>
      </c>
      <c r="H16" s="2" t="inlineStr">
        <is>
          <t>Convocado</t>
        </is>
      </c>
      <c r="I16" s="2" t="inlineStr">
        <is>
          <t>Sem resposta</t>
        </is>
      </c>
      <c r="J16" s="2" t="inlineStr">
        <is>
          <t>-</t>
        </is>
      </c>
      <c r="K16" s="2" t="inlineStr">
        <is>
          <t>Sim</t>
        </is>
      </c>
      <c r="L16" s="2" t="inlineStr">
        <is>
          <t>Assinou</t>
        </is>
      </c>
      <c r="M16" s="2" t="inlineStr">
        <is>
          <t>SIM</t>
        </is>
      </c>
      <c r="N16" s="2" t="inlineStr">
        <is>
          <t>OK</t>
        </is>
      </c>
      <c r="O16" s="2" t="inlineStr">
        <is>
          <t>Elo: Sem resposta em 30/09, mas compareceu</t>
        </is>
      </c>
      <c r="P16" t="inlineStr">
        <is>
          <t>Confirmado</t>
        </is>
      </c>
      <c r="Q16" t="inlineStr">
        <is>
          <t>52</t>
        </is>
      </c>
    </row>
    <row r="17">
      <c r="A17" s="10" t="n">
        <v>517</v>
      </c>
      <c r="B17" s="2" t="inlineStr">
        <is>
          <t>1º Secretário</t>
        </is>
      </c>
      <c r="C17" s="11" t="inlineStr">
        <is>
          <t>tucanamariana@gmail.com</t>
        </is>
      </c>
      <c r="D17" s="2" t="inlineStr">
        <is>
          <t>MARIANA MACIEL DOS SANTOS SOUZA</t>
        </is>
      </c>
      <c r="E17" s="2" t="inlineStr">
        <is>
          <t>SIM</t>
        </is>
      </c>
      <c r="F17" s="12">
        <f>A17&amp;"|"&amp;B17</f>
        <v/>
      </c>
      <c r="G17" s="13" t="inlineStr">
        <is>
          <t>154661270299</t>
        </is>
      </c>
      <c r="H17" s="2" t="inlineStr">
        <is>
          <t>Nomeado</t>
        </is>
      </c>
      <c r="I17" s="2" t="inlineStr">
        <is>
          <t>Confirmado</t>
        </is>
      </c>
      <c r="J17" s="2" t="inlineStr">
        <is>
          <t>0006/2026</t>
        </is>
      </c>
      <c r="K17" s="2" t="inlineStr">
        <is>
          <t>Sim</t>
        </is>
      </c>
      <c r="L17" s="2" t="inlineStr">
        <is>
          <t>Assinou</t>
        </is>
      </c>
      <c r="M17" s="2" t="inlineStr">
        <is>
          <t>SIM</t>
        </is>
      </c>
      <c r="N17" s="2" t="inlineStr">
        <is>
          <t>OK</t>
        </is>
      </c>
      <c r="O17" s="2" t="n"/>
      <c r="P17" t="inlineStr">
        <is>
          <t>Confirmado</t>
        </is>
      </c>
      <c r="Q17" t="inlineStr">
        <is>
          <t>15</t>
        </is>
      </c>
    </row>
    <row r="18">
      <c r="A18" s="10" t="n">
        <v>1160</v>
      </c>
      <c r="B18" s="2" t="inlineStr">
        <is>
          <t>Presidente</t>
        </is>
      </c>
      <c r="C18" s="11" t="inlineStr">
        <is>
          <t>pamela.silva@itamaraty.gov.br</t>
        </is>
      </c>
      <c r="D18" s="2" t="inlineStr">
        <is>
          <t>PAMELA NASCIMENTO DA SILVA</t>
        </is>
      </c>
      <c r="E18" s="2" t="inlineStr">
        <is>
          <t>0006/2026</t>
        </is>
      </c>
      <c r="F18" s="12">
        <f>A18&amp;"|"&amp;B18</f>
        <v/>
      </c>
      <c r="G18" s="13" t="inlineStr">
        <is>
          <t>150286960310</t>
        </is>
      </c>
      <c r="H18" s="2" t="inlineStr">
        <is>
          <t>Nomeado</t>
        </is>
      </c>
      <c r="I18" s="2" t="inlineStr">
        <is>
          <t>Confirmado</t>
        </is>
      </c>
      <c r="J18" s="2" t="inlineStr">
        <is>
          <t>0006/2026</t>
        </is>
      </c>
      <c r="K18" s="2" t="inlineStr">
        <is>
          <t>Sim</t>
        </is>
      </c>
      <c r="L18" s="2" t="inlineStr">
        <is>
          <t>Assinou</t>
        </is>
      </c>
      <c r="M18" s="2" t="inlineStr">
        <is>
          <t>SIM</t>
        </is>
      </c>
      <c r="N18" s="2" t="n"/>
      <c r="O18" s="2" t="n"/>
      <c r="P18" t="inlineStr">
        <is>
          <t>Sem resposta</t>
        </is>
      </c>
      <c r="Q18" t="inlineStr">
        <is>
          <t>—</t>
        </is>
      </c>
    </row>
    <row r="19">
      <c r="A19" s="10" t="n">
        <v>1160</v>
      </c>
      <c r="B19" s="2" t="inlineStr">
        <is>
          <t>1º Mesário</t>
        </is>
      </c>
      <c r="C19" s="11" t="inlineStr">
        <is>
          <t>arthurgf96@gmail.com</t>
        </is>
      </c>
      <c r="D19" s="2" t="inlineStr">
        <is>
          <t>ARTHUR GRIZ FERREIRA</t>
        </is>
      </c>
      <c r="E19" s="2" t="inlineStr">
        <is>
          <t>0006/2026</t>
        </is>
      </c>
      <c r="F19" s="12">
        <f>A19&amp;"|"&amp;B19</f>
        <v/>
      </c>
      <c r="G19" s="13" t="inlineStr">
        <is>
          <t>092144330809</t>
        </is>
      </c>
      <c r="H19" s="2" t="inlineStr">
        <is>
          <t>Nomeado</t>
        </is>
      </c>
      <c r="I19" s="2" t="inlineStr">
        <is>
          <t>Confirmado</t>
        </is>
      </c>
      <c r="J19" s="2" t="inlineStr">
        <is>
          <t>0006/2026</t>
        </is>
      </c>
      <c r="K19" s="2" t="inlineStr">
        <is>
          <t>Sim</t>
        </is>
      </c>
      <c r="L19" s="2" t="inlineStr">
        <is>
          <t>Assinou</t>
        </is>
      </c>
      <c r="M19" s="2" t="inlineStr">
        <is>
          <t>SIM</t>
        </is>
      </c>
      <c r="N19" s="2" t="n"/>
      <c r="O19" s="2" t="n"/>
      <c r="P19" t="inlineStr">
        <is>
          <t>Sem resposta</t>
        </is>
      </c>
      <c r="Q19" t="inlineStr">
        <is>
          <t>—</t>
        </is>
      </c>
    </row>
    <row r="20">
      <c r="A20" s="10" t="n">
        <v>1160</v>
      </c>
      <c r="B20" s="2" t="inlineStr">
        <is>
          <t>2º Mesário</t>
        </is>
      </c>
      <c r="C20" s="11" t="inlineStr">
        <is>
          <t>crislainedealmeida@hotmail.com</t>
        </is>
      </c>
      <c r="D20" s="2" t="inlineStr">
        <is>
          <t>CRISLAINE DE SOUZA ALMEIDA</t>
        </is>
      </c>
      <c r="E20" s="2" t="inlineStr">
        <is>
          <t>0006/2026</t>
        </is>
      </c>
      <c r="F20" s="12">
        <f>A20&amp;"|"&amp;B20</f>
        <v/>
      </c>
      <c r="G20" s="13" t="inlineStr">
        <is>
          <t>409193130159</t>
        </is>
      </c>
      <c r="H20" s="2" t="inlineStr">
        <is>
          <t>Nomeado</t>
        </is>
      </c>
      <c r="I20" s="2" t="inlineStr">
        <is>
          <t>Confirmado</t>
        </is>
      </c>
      <c r="J20" s="2" t="inlineStr">
        <is>
          <t>0006/2026</t>
        </is>
      </c>
      <c r="K20" s="2" t="inlineStr">
        <is>
          <t>Sim</t>
        </is>
      </c>
      <c r="L20" s="2" t="inlineStr">
        <is>
          <t>Assinou</t>
        </is>
      </c>
      <c r="M20" s="2" t="inlineStr">
        <is>
          <t>SIM</t>
        </is>
      </c>
      <c r="N20" s="2" t="n"/>
      <c r="O20" s="2" t="n"/>
      <c r="P20" t="inlineStr">
        <is>
          <t>Não volta</t>
        </is>
      </c>
      <c r="Q20" t="inlineStr">
        <is>
          <t>60</t>
        </is>
      </c>
    </row>
    <row r="21">
      <c r="A21" s="10" t="n">
        <v>1160</v>
      </c>
      <c r="B21" s="2" t="inlineStr">
        <is>
          <t>1º Secretário</t>
        </is>
      </c>
      <c r="C21" s="11" t="inlineStr">
        <is>
          <t>cintiadosantos4@gmail.com</t>
        </is>
      </c>
      <c r="D21" s="2" t="inlineStr">
        <is>
          <t>CINTIA DOS SANTOS</t>
        </is>
      </c>
      <c r="E21" s="2" t="inlineStr">
        <is>
          <t>0006/2026</t>
        </is>
      </c>
      <c r="F21" s="12">
        <f>A21&amp;"|"&amp;B21</f>
        <v/>
      </c>
      <c r="G21" s="13" t="inlineStr">
        <is>
          <t>228274860191</t>
        </is>
      </c>
      <c r="H21" s="2" t="inlineStr">
        <is>
          <t>Nomeado</t>
        </is>
      </c>
      <c r="I21" s="2" t="inlineStr">
        <is>
          <t>Confirmado</t>
        </is>
      </c>
      <c r="J21" s="2" t="inlineStr">
        <is>
          <t>0006/2026</t>
        </is>
      </c>
      <c r="K21" s="2" t="inlineStr">
        <is>
          <t>Sim, também na urna 512</t>
        </is>
      </c>
      <c r="L21" s="2" t="inlineStr">
        <is>
          <t>Assinou; Assinou (urna 512)</t>
        </is>
      </c>
      <c r="M21" s="2" t="inlineStr">
        <is>
          <t>SIM</t>
        </is>
      </c>
      <c r="N21" s="2" t="n"/>
      <c r="O21" s="2" t="inlineStr">
        <is>
          <t>Aparece também em boletim de outra urna</t>
        </is>
      </c>
      <c r="P21" t="inlineStr">
        <is>
          <t>Confirmado</t>
        </is>
      </c>
      <c r="Q21" t="inlineStr">
        <is>
          <t>57</t>
        </is>
      </c>
    </row>
    <row r="22">
      <c r="A22" s="10" t="n">
        <v>1352</v>
      </c>
      <c r="B22" s="2" t="inlineStr">
        <is>
          <t>Presidente</t>
        </is>
      </c>
      <c r="C22" s="11" t="inlineStr">
        <is>
          <t>nayara.mendes@itamaraty.gov.br</t>
        </is>
      </c>
      <c r="D22" s="2" t="inlineStr">
        <is>
          <t>NAYARA GIROTO MENDES</t>
        </is>
      </c>
      <c r="E22" s="2" t="inlineStr">
        <is>
          <t>SIM</t>
        </is>
      </c>
      <c r="F22" s="12">
        <f>A22&amp;"|"&amp;B22</f>
        <v/>
      </c>
      <c r="G22" s="13" t="inlineStr">
        <is>
          <t>355815510167</t>
        </is>
      </c>
      <c r="H22" s="2" t="inlineStr">
        <is>
          <t>Nomeado</t>
        </is>
      </c>
      <c r="I22" s="2" t="inlineStr">
        <is>
          <t>Confirmado</t>
        </is>
      </c>
      <c r="J22" s="2" t="inlineStr">
        <is>
          <t>0006/2026</t>
        </is>
      </c>
      <c r="K22" s="2" t="inlineStr">
        <is>
          <t>Sim</t>
        </is>
      </c>
      <c r="L22" s="2" t="inlineStr">
        <is>
          <t>Assinou</t>
        </is>
      </c>
      <c r="M22" s="2" t="inlineStr">
        <is>
          <t>SIM</t>
        </is>
      </c>
      <c r="N22" s="2" t="inlineStr">
        <is>
          <t>OK</t>
        </is>
      </c>
      <c r="O22" s="2" t="n"/>
      <c r="P22" t="inlineStr">
        <is>
          <t>Sem resposta</t>
        </is>
      </c>
      <c r="Q22" t="inlineStr">
        <is>
          <t>—</t>
        </is>
      </c>
    </row>
    <row r="23">
      <c r="A23" s="10" t="n">
        <v>1352</v>
      </c>
      <c r="B23" s="2" t="inlineStr">
        <is>
          <t>1º Mesário</t>
        </is>
      </c>
      <c r="C23" s="11" t="inlineStr">
        <is>
          <t>jessicaoliveira9316@gmail.com</t>
        </is>
      </c>
      <c r="D23" s="2" t="inlineStr">
        <is>
          <t>JESSICA DE OLIVEIRA</t>
        </is>
      </c>
      <c r="E23" s="2" t="inlineStr">
        <is>
          <t>SIM</t>
        </is>
      </c>
      <c r="F23" s="12">
        <f>A23&amp;"|"&amp;B23</f>
        <v/>
      </c>
      <c r="G23" s="13" t="inlineStr">
        <is>
          <t>106070350450</t>
        </is>
      </c>
      <c r="H23" s="2" t="inlineStr">
        <is>
          <t>Nomeado</t>
        </is>
      </c>
      <c r="I23" s="2" t="inlineStr">
        <is>
          <t>Confirmado</t>
        </is>
      </c>
      <c r="J23" s="2" t="inlineStr">
        <is>
          <t>0006/2026</t>
        </is>
      </c>
      <c r="K23" s="2" t="inlineStr">
        <is>
          <t>Sim</t>
        </is>
      </c>
      <c r="L23" s="2" t="inlineStr">
        <is>
          <t>Assinou</t>
        </is>
      </c>
      <c r="M23" s="2" t="inlineStr">
        <is>
          <t>SIM</t>
        </is>
      </c>
      <c r="N23" s="2" t="inlineStr">
        <is>
          <t>OK</t>
        </is>
      </c>
      <c r="O23" s="2" t="n"/>
      <c r="P23" t="inlineStr">
        <is>
          <t>Confirmado</t>
        </is>
      </c>
      <c r="Q23" t="inlineStr">
        <is>
          <t>2</t>
        </is>
      </c>
    </row>
    <row r="24">
      <c r="A24" s="10" t="n">
        <v>1352</v>
      </c>
      <c r="B24" s="2" t="inlineStr">
        <is>
          <t>2º Mesário</t>
        </is>
      </c>
      <c r="C24" s="11" t="inlineStr">
        <is>
          <t>ana.spelias@gmail.com</t>
        </is>
      </c>
      <c r="D24" s="2" t="inlineStr">
        <is>
          <t>ANA PAULA DA SILVA ELIAS</t>
        </is>
      </c>
      <c r="E24" s="2" t="inlineStr">
        <is>
          <t>SIM</t>
        </is>
      </c>
      <c r="F24" s="12">
        <f>A24&amp;"|"&amp;B24</f>
        <v/>
      </c>
      <c r="G24" s="13" t="inlineStr">
        <is>
          <t>407856270175</t>
        </is>
      </c>
      <c r="H24" s="2" t="inlineStr">
        <is>
          <t>Nomeado</t>
        </is>
      </c>
      <c r="I24" s="2" t="inlineStr">
        <is>
          <t>Confirmado</t>
        </is>
      </c>
      <c r="J24" s="2" t="inlineStr">
        <is>
          <t>0006/2026</t>
        </is>
      </c>
      <c r="K24" s="2" t="inlineStr">
        <is>
          <t>Sim</t>
        </is>
      </c>
      <c r="L24" s="2" t="inlineStr">
        <is>
          <t>Assinou (urna 3179)</t>
        </is>
      </c>
      <c r="M24" s="2" t="inlineStr">
        <is>
          <t>SIM</t>
        </is>
      </c>
      <c r="N24" s="2" t="inlineStr">
        <is>
          <t>OK</t>
        </is>
      </c>
      <c r="O24" s="2" t="inlineStr">
        <is>
          <t>Aparece também em boletim de outra urna</t>
        </is>
      </c>
      <c r="P24" t="inlineStr">
        <is>
          <t>Confirmado</t>
        </is>
      </c>
      <c r="Q24" t="inlineStr">
        <is>
          <t>14</t>
        </is>
      </c>
    </row>
    <row r="25">
      <c r="A25" s="10" t="n">
        <v>1352</v>
      </c>
      <c r="B25" s="2" t="inlineStr">
        <is>
          <t>1º Secretário</t>
        </is>
      </c>
      <c r="C25" s="11" t="inlineStr">
        <is>
          <t>dener.asm@gmail.com</t>
        </is>
      </c>
      <c r="D25" s="2" t="inlineStr">
        <is>
          <t>DENER AUGUSTO SALES MACHADO</t>
        </is>
      </c>
      <c r="E25" s="2" t="inlineStr">
        <is>
          <t>SIM</t>
        </is>
      </c>
      <c r="F25" s="12">
        <f>A25&amp;"|"&amp;B25</f>
        <v/>
      </c>
      <c r="G25" s="13" t="inlineStr">
        <is>
          <t>109790750485</t>
        </is>
      </c>
      <c r="H25" s="2" t="inlineStr">
        <is>
          <t>Nomeado</t>
        </is>
      </c>
      <c r="I25" s="2" t="inlineStr">
        <is>
          <t>Confirmado</t>
        </is>
      </c>
      <c r="J25" s="2" t="inlineStr">
        <is>
          <t>0006/2026</t>
        </is>
      </c>
      <c r="K25" s="2" t="inlineStr">
        <is>
          <t>Sim</t>
        </is>
      </c>
      <c r="L25" s="2" t="inlineStr">
        <is>
          <t>Assinou</t>
        </is>
      </c>
      <c r="M25" s="2" t="inlineStr">
        <is>
          <t>SIM</t>
        </is>
      </c>
      <c r="N25" s="2" t="inlineStr">
        <is>
          <t>OK</t>
        </is>
      </c>
      <c r="O25" s="2" t="n"/>
      <c r="P25" t="inlineStr">
        <is>
          <t>Não volta</t>
        </is>
      </c>
      <c r="Q25" t="inlineStr">
        <is>
          <t>54</t>
        </is>
      </c>
    </row>
    <row r="26">
      <c r="A26" s="10" t="n">
        <v>3054</v>
      </c>
      <c r="B26" s="2" t="inlineStr">
        <is>
          <t>Presidente</t>
        </is>
      </c>
      <c r="C26" s="11" t="inlineStr">
        <is>
          <t>fabiola.malta@itamaraty.gov.br</t>
        </is>
      </c>
      <c r="D26" s="2" t="inlineStr">
        <is>
          <t>FABIOLA CRISTIANE DA SILVA MALTA</t>
        </is>
      </c>
      <c r="E26" s="2" t="inlineStr">
        <is>
          <t>SIM</t>
        </is>
      </c>
      <c r="F26" s="12">
        <f>A26&amp;"|"&amp;B26</f>
        <v/>
      </c>
      <c r="G26" s="13" t="inlineStr">
        <is>
          <t>006435662011</t>
        </is>
      </c>
      <c r="H26" s="2" t="inlineStr">
        <is>
          <t>Nomeado</t>
        </is>
      </c>
      <c r="I26" s="2" t="inlineStr">
        <is>
          <t>Confirmado</t>
        </is>
      </c>
      <c r="J26" s="2" t="inlineStr">
        <is>
          <t>0006/2026</t>
        </is>
      </c>
      <c r="K26" s="2" t="inlineStr">
        <is>
          <t>Sim</t>
        </is>
      </c>
      <c r="L26" s="2" t="inlineStr">
        <is>
          <t>Assinou</t>
        </is>
      </c>
      <c r="M26" s="2" t="inlineStr">
        <is>
          <t>SIM</t>
        </is>
      </c>
      <c r="N26" s="2" t="inlineStr">
        <is>
          <t>OK</t>
        </is>
      </c>
      <c r="O26" s="2" t="n"/>
      <c r="P26" t="inlineStr">
        <is>
          <t>Sem resposta</t>
        </is>
      </c>
      <c r="Q26" t="inlineStr">
        <is>
          <t>—</t>
        </is>
      </c>
    </row>
    <row r="27">
      <c r="A27" s="10" t="n">
        <v>3054</v>
      </c>
      <c r="B27" s="2" t="inlineStr">
        <is>
          <t>1º Mesário</t>
        </is>
      </c>
      <c r="C27" s="11" t="inlineStr">
        <is>
          <t>wellingtons24.santos@gmail.com</t>
        </is>
      </c>
      <c r="D27" s="2" t="inlineStr">
        <is>
          <t>WELLINGTON DOS SANTOS</t>
        </is>
      </c>
      <c r="E27" s="2" t="inlineStr">
        <is>
          <t>SIM</t>
        </is>
      </c>
      <c r="F27" s="12">
        <f>A27&amp;"|"&amp;B27</f>
        <v/>
      </c>
      <c r="G27" s="13" t="inlineStr">
        <is>
          <t>426020000167</t>
        </is>
      </c>
      <c r="H27" s="2" t="inlineStr">
        <is>
          <t>Nomeado</t>
        </is>
      </c>
      <c r="I27" s="2" t="inlineStr">
        <is>
          <t>Confirmado</t>
        </is>
      </c>
      <c r="J27" s="2" t="inlineStr">
        <is>
          <t>0006/2026</t>
        </is>
      </c>
      <c r="K27" s="2" t="inlineStr">
        <is>
          <t>Sim</t>
        </is>
      </c>
      <c r="L27" s="2" t="inlineStr">
        <is>
          <t>Assinou</t>
        </is>
      </c>
      <c r="M27" s="2" t="inlineStr">
        <is>
          <t>SIM</t>
        </is>
      </c>
      <c r="N27" s="2" t="inlineStr">
        <is>
          <t>OK</t>
        </is>
      </c>
      <c r="O27" s="2" t="n"/>
      <c r="P27" t="inlineStr">
        <is>
          <t>Não volta</t>
        </is>
      </c>
      <c r="Q27" t="inlineStr">
        <is>
          <t>64</t>
        </is>
      </c>
    </row>
    <row r="28">
      <c r="A28" s="10" t="n">
        <v>3054</v>
      </c>
      <c r="B28" s="2" t="inlineStr">
        <is>
          <t>2º Mesário</t>
        </is>
      </c>
      <c r="C28" s="11" t="inlineStr">
        <is>
          <t>almeidaedi@gmail.com</t>
        </is>
      </c>
      <c r="D28" s="2" t="inlineStr">
        <is>
          <t>EDINEIA DE ALMEIDA GOMES</t>
        </is>
      </c>
      <c r="E28" s="2" t="inlineStr">
        <is>
          <t>NAO</t>
        </is>
      </c>
      <c r="F28" s="12">
        <f>A28&amp;"|"&amp;B28</f>
        <v/>
      </c>
      <c r="G28" s="13" t="inlineStr">
        <is>
          <t>266846740124</t>
        </is>
      </c>
      <c r="H28" s="2" t="inlineStr">
        <is>
          <t>Nomeado</t>
        </is>
      </c>
      <c r="I28" s="2" t="inlineStr">
        <is>
          <t>Confirmado</t>
        </is>
      </c>
      <c r="J28" s="2" t="inlineStr">
        <is>
          <t>0006/2026</t>
        </is>
      </c>
      <c r="K28" s="2" t="inlineStr">
        <is>
          <t>Não</t>
        </is>
      </c>
      <c r="L28" s="2" t="inlineStr">
        <is>
          <t>Não consta</t>
        </is>
      </c>
      <c r="M28" s="2" t="inlineStr">
        <is>
          <t>NAO</t>
        </is>
      </c>
      <c r="N28" s="2" t="inlineStr">
        <is>
          <t>OK</t>
        </is>
      </c>
      <c r="O28" s="2" t="inlineStr">
        <is>
          <t>Elo: Confirmado em 30/09, mas não consta em nenhum boletim</t>
        </is>
      </c>
      <c r="P28" t="inlineStr">
        <is>
          <t>Sem resposta</t>
        </is>
      </c>
      <c r="Q28" t="inlineStr">
        <is>
          <t>—</t>
        </is>
      </c>
    </row>
    <row r="29">
      <c r="A29" s="10" t="n">
        <v>3054</v>
      </c>
      <c r="B29" s="2" t="inlineStr">
        <is>
          <t>1º Secretário</t>
        </is>
      </c>
      <c r="C29" s="11" t="inlineStr">
        <is>
          <t>gabrielsoares2111@gmail.com</t>
        </is>
      </c>
      <c r="D29" s="2" t="inlineStr">
        <is>
          <t>GABRIEL SOARES DE CARVALHO</t>
        </is>
      </c>
      <c r="E29" s="2" t="inlineStr">
        <is>
          <t>NAO</t>
        </is>
      </c>
      <c r="F29" s="12">
        <f>A29&amp;"|"&amp;B29</f>
        <v/>
      </c>
      <c r="G29" s="13" t="inlineStr">
        <is>
          <t>215721420205</t>
        </is>
      </c>
      <c r="H29" s="2" t="inlineStr">
        <is>
          <t>Nomeado</t>
        </is>
      </c>
      <c r="I29" s="2" t="inlineStr">
        <is>
          <t>Confirmado</t>
        </is>
      </c>
      <c r="J29" s="2" t="inlineStr">
        <is>
          <t>0006/2026</t>
        </is>
      </c>
      <c r="K29" s="2" t="inlineStr">
        <is>
          <t>Sim</t>
        </is>
      </c>
      <c r="L29" s="2" t="inlineStr">
        <is>
          <t>Assinou</t>
        </is>
      </c>
      <c r="M29" s="2" t="inlineStr">
        <is>
          <t>SIM</t>
        </is>
      </c>
      <c r="N29" s="2" t="n"/>
      <c r="O29" s="2" t="n"/>
      <c r="P29" t="inlineStr">
        <is>
          <t>Sem resposta</t>
        </is>
      </c>
      <c r="Q29" t="inlineStr">
        <is>
          <t>—</t>
        </is>
      </c>
    </row>
    <row r="30">
      <c r="A30" s="10" t="n">
        <v>3078</v>
      </c>
      <c r="B30" s="2" t="inlineStr">
        <is>
          <t>Presidente</t>
        </is>
      </c>
      <c r="C30" s="11" t="inlineStr">
        <is>
          <t>tulio.neves@itamaraty.gov.br</t>
        </is>
      </c>
      <c r="D30" s="2" t="inlineStr">
        <is>
          <t>TULIO CARLOS DE MOURA NEVES</t>
        </is>
      </c>
      <c r="E30" s="2" t="inlineStr">
        <is>
          <t>SIM</t>
        </is>
      </c>
      <c r="F30" s="12">
        <f>A30&amp;"|"&amp;B30</f>
        <v/>
      </c>
      <c r="G30" s="13" t="inlineStr">
        <is>
          <t>000122531007</t>
        </is>
      </c>
      <c r="H30" s="2" t="inlineStr">
        <is>
          <t>Nomeado</t>
        </is>
      </c>
      <c r="I30" s="2" t="inlineStr">
        <is>
          <t>Confirmado</t>
        </is>
      </c>
      <c r="J30" s="2" t="inlineStr">
        <is>
          <t>0006/2026</t>
        </is>
      </c>
      <c r="K30" s="2" t="inlineStr">
        <is>
          <t>Sim</t>
        </is>
      </c>
      <c r="L30" s="2" t="inlineStr">
        <is>
          <t>Assinou</t>
        </is>
      </c>
      <c r="M30" s="2" t="inlineStr">
        <is>
          <t>SIM</t>
        </is>
      </c>
      <c r="N30" s="2" t="inlineStr">
        <is>
          <t>OK</t>
        </is>
      </c>
      <c r="O30" s="2" t="n"/>
      <c r="P30" t="inlineStr">
        <is>
          <t>Sem resposta</t>
        </is>
      </c>
      <c r="Q30" t="inlineStr">
        <is>
          <t>—</t>
        </is>
      </c>
    </row>
    <row r="31">
      <c r="A31" s="10" t="n">
        <v>3078</v>
      </c>
      <c r="B31" s="2" t="inlineStr">
        <is>
          <t>1º Mesário</t>
        </is>
      </c>
      <c r="C31" s="11" t="inlineStr">
        <is>
          <t>tfregnani@outlook.com</t>
        </is>
      </c>
      <c r="D31" s="2" t="inlineStr">
        <is>
          <t>TATIANE CRISTINA FREGNANI</t>
        </is>
      </c>
      <c r="E31" s="2" t="inlineStr">
        <is>
          <t>SIM</t>
        </is>
      </c>
      <c r="F31" s="12">
        <f>A31&amp;"|"&amp;B31</f>
        <v/>
      </c>
      <c r="G31" s="13" t="inlineStr">
        <is>
          <t>262347330141</t>
        </is>
      </c>
      <c r="H31" s="2" t="inlineStr">
        <is>
          <t>Nomeado</t>
        </is>
      </c>
      <c r="I31" s="2" t="inlineStr">
        <is>
          <t>Confirmado</t>
        </is>
      </c>
      <c r="J31" s="2" t="inlineStr">
        <is>
          <t>0006/2026</t>
        </is>
      </c>
      <c r="K31" s="2" t="inlineStr">
        <is>
          <t>Sim</t>
        </is>
      </c>
      <c r="L31" s="2" t="inlineStr">
        <is>
          <t>Assinou</t>
        </is>
      </c>
      <c r="M31" s="2" t="inlineStr">
        <is>
          <t>SIM</t>
        </is>
      </c>
      <c r="N31" s="2" t="inlineStr">
        <is>
          <t>OK</t>
        </is>
      </c>
      <c r="O31" s="2" t="n"/>
      <c r="P31" t="inlineStr">
        <is>
          <t>Confirmado</t>
        </is>
      </c>
      <c r="Q31" t="inlineStr">
        <is>
          <t>44</t>
        </is>
      </c>
    </row>
    <row r="32">
      <c r="A32" s="10" t="n">
        <v>3078</v>
      </c>
      <c r="B32" s="2" t="inlineStr">
        <is>
          <t>2º Mesário</t>
        </is>
      </c>
      <c r="C32" s="11" t="inlineStr">
        <is>
          <t>danielalmelo@gmail.com</t>
        </is>
      </c>
      <c r="D32" s="2" t="inlineStr">
        <is>
          <t>DANIELA LIMA DE MELO CARETTE</t>
        </is>
      </c>
      <c r="E32" s="2" t="inlineStr">
        <is>
          <t>SIM</t>
        </is>
      </c>
      <c r="F32" s="12">
        <f>A32&amp;"|"&amp;B32</f>
        <v/>
      </c>
      <c r="G32" s="13" t="inlineStr">
        <is>
          <t>254243240108</t>
        </is>
      </c>
      <c r="H32" s="2" t="inlineStr">
        <is>
          <t>Nomeado</t>
        </is>
      </c>
      <c r="I32" s="2" t="inlineStr">
        <is>
          <t>Confirmado</t>
        </is>
      </c>
      <c r="J32" s="2" t="inlineStr">
        <is>
          <t>0006/2026</t>
        </is>
      </c>
      <c r="K32" s="2" t="inlineStr">
        <is>
          <t>Sim</t>
        </is>
      </c>
      <c r="L32" s="2" t="inlineStr">
        <is>
          <t>Assinou</t>
        </is>
      </c>
      <c r="M32" s="2" t="inlineStr">
        <is>
          <t>SIM</t>
        </is>
      </c>
      <c r="N32" s="2" t="inlineStr">
        <is>
          <t>OK</t>
        </is>
      </c>
      <c r="O32" s="2" t="n"/>
      <c r="P32" t="inlineStr">
        <is>
          <t>Confirmado</t>
        </is>
      </c>
      <c r="Q32" t="inlineStr">
        <is>
          <t>1</t>
        </is>
      </c>
    </row>
    <row r="33">
      <c r="A33" s="10" t="n">
        <v>3078</v>
      </c>
      <c r="B33" s="2" t="inlineStr">
        <is>
          <t>1º Secretário</t>
        </is>
      </c>
      <c r="C33" s="11" t="inlineStr">
        <is>
          <t>passos.matheus@gmail.com</t>
        </is>
      </c>
      <c r="D33" s="2" t="inlineStr">
        <is>
          <t>MATHEUS PASSOS MENDES</t>
        </is>
      </c>
      <c r="E33" s="2" t="inlineStr">
        <is>
          <t>SIM</t>
        </is>
      </c>
      <c r="F33" s="12">
        <f>A33&amp;"|"&amp;B33</f>
        <v/>
      </c>
      <c r="G33" s="13" t="inlineStr">
        <is>
          <t>381115100116</t>
        </is>
      </c>
      <c r="H33" s="2" t="inlineStr">
        <is>
          <t>Nomeado</t>
        </is>
      </c>
      <c r="I33" s="2" t="inlineStr">
        <is>
          <t>Confirmado</t>
        </is>
      </c>
      <c r="J33" s="2" t="inlineStr">
        <is>
          <t>0006/2026</t>
        </is>
      </c>
      <c r="K33" s="2" t="inlineStr">
        <is>
          <t>Sim</t>
        </is>
      </c>
      <c r="L33" s="2" t="inlineStr">
        <is>
          <t>Assinou</t>
        </is>
      </c>
      <c r="M33" s="2" t="inlineStr">
        <is>
          <t>SIM</t>
        </is>
      </c>
      <c r="N33" s="2" t="inlineStr">
        <is>
          <t>OK</t>
        </is>
      </c>
      <c r="O33" s="2" t="n"/>
      <c r="P33" t="inlineStr">
        <is>
          <t>Sem resposta</t>
        </is>
      </c>
      <c r="Q33" t="inlineStr">
        <is>
          <t>—</t>
        </is>
      </c>
    </row>
    <row r="34">
      <c r="A34" s="10" t="n">
        <v>3108</v>
      </c>
      <c r="B34" s="2" t="inlineStr">
        <is>
          <t>Presidente</t>
        </is>
      </c>
      <c r="C34" s="11" t="inlineStr">
        <is>
          <t>fernanda@brazilirelandchamber.com</t>
        </is>
      </c>
      <c r="D34" s="2" t="inlineStr">
        <is>
          <t>FERNANDA LIMA HERMANSON CARVALHO LOPES</t>
        </is>
      </c>
      <c r="E34" s="2" t="inlineStr">
        <is>
          <t>SIM</t>
        </is>
      </c>
      <c r="F34" s="12">
        <f>A34&amp;"|"&amp;B34</f>
        <v/>
      </c>
      <c r="G34" s="13" t="inlineStr">
        <is>
          <t>363200640191</t>
        </is>
      </c>
      <c r="H34" s="2" t="inlineStr">
        <is>
          <t>Nomeado</t>
        </is>
      </c>
      <c r="I34" s="2" t="inlineStr">
        <is>
          <t>Confirmado</t>
        </is>
      </c>
      <c r="J34" s="2" t="inlineStr">
        <is>
          <t>0006/2026</t>
        </is>
      </c>
      <c r="K34" s="2" t="inlineStr">
        <is>
          <t>Sim</t>
        </is>
      </c>
      <c r="L34" s="2" t="inlineStr">
        <is>
          <t>Não consta</t>
        </is>
      </c>
      <c r="M34" s="2" t="inlineStr">
        <is>
          <t>SIM</t>
        </is>
      </c>
      <c r="N34" s="2" t="inlineStr">
        <is>
          <t>OK</t>
        </is>
      </c>
      <c r="O34" s="2" t="n"/>
      <c r="P34" t="inlineStr">
        <is>
          <t>Confirmado</t>
        </is>
      </c>
      <c r="Q34" t="inlineStr">
        <is>
          <t>59</t>
        </is>
      </c>
    </row>
    <row r="35">
      <c r="A35" s="10" t="n">
        <v>3108</v>
      </c>
      <c r="B35" s="2" t="inlineStr">
        <is>
          <t>1º Mesário</t>
        </is>
      </c>
      <c r="C35" s="11" t="inlineStr">
        <is>
          <t>daniel20022304@gmail.com</t>
        </is>
      </c>
      <c r="D35" s="2" t="inlineStr">
        <is>
          <t>DANIEL DOS SANTOS JORGE</t>
        </is>
      </c>
      <c r="E35" s="2" t="inlineStr">
        <is>
          <t>SIM</t>
        </is>
      </c>
      <c r="F35" s="12">
        <f>A35&amp;"|"&amp;B35</f>
        <v/>
      </c>
      <c r="G35" s="13" t="inlineStr">
        <is>
          <t>442676540191</t>
        </is>
      </c>
      <c r="H35" s="2" t="inlineStr">
        <is>
          <t>Nomeado</t>
        </is>
      </c>
      <c r="I35" s="2" t="inlineStr">
        <is>
          <t>Confirmado</t>
        </is>
      </c>
      <c r="J35" s="2" t="inlineStr">
        <is>
          <t>0006/2026</t>
        </is>
      </c>
      <c r="K35" s="2" t="inlineStr">
        <is>
          <t>Não</t>
        </is>
      </c>
      <c r="L35" s="2" t="inlineStr">
        <is>
          <t>Não consta</t>
        </is>
      </c>
      <c r="M35" s="2" t="inlineStr">
        <is>
          <t>NAO</t>
        </is>
      </c>
      <c r="N35" s="2" t="n"/>
      <c r="O35" s="2" t="inlineStr">
        <is>
          <t>Elo: Confirmado em 30/09, mas não consta em nenhum boletim</t>
        </is>
      </c>
      <c r="P35" t="inlineStr">
        <is>
          <t>Sem resposta</t>
        </is>
      </c>
      <c r="Q35" t="inlineStr">
        <is>
          <t>—</t>
        </is>
      </c>
    </row>
    <row r="36">
      <c r="A36" s="10" t="n">
        <v>3108</v>
      </c>
      <c r="B36" s="2" t="inlineStr">
        <is>
          <t>2º Mesário</t>
        </is>
      </c>
      <c r="C36" s="11" t="inlineStr">
        <is>
          <t>ingridmach@hotmail.com</t>
        </is>
      </c>
      <c r="D36" s="2" t="inlineStr">
        <is>
          <t>INGRID MACHADO DOS REIS</t>
        </is>
      </c>
      <c r="E36" s="2" t="inlineStr">
        <is>
          <t>SIM</t>
        </is>
      </c>
      <c r="F36" s="12">
        <f>A36&amp;"|"&amp;B36</f>
        <v/>
      </c>
      <c r="G36" s="13" t="inlineStr">
        <is>
          <t>369375360108</t>
        </is>
      </c>
      <c r="H36" s="2" t="inlineStr">
        <is>
          <t>Nomeado</t>
        </is>
      </c>
      <c r="I36" s="2" t="inlineStr">
        <is>
          <t>Confirmado</t>
        </is>
      </c>
      <c r="J36" s="2" t="inlineStr">
        <is>
          <t>0006/2026</t>
        </is>
      </c>
      <c r="K36" s="2" t="inlineStr">
        <is>
          <t>Sim</t>
        </is>
      </c>
      <c r="L36" s="2" t="inlineStr">
        <is>
          <t>Assinou</t>
        </is>
      </c>
      <c r="M36" s="2" t="inlineStr">
        <is>
          <t>SIM</t>
        </is>
      </c>
      <c r="N36" s="2" t="inlineStr">
        <is>
          <t>OK</t>
        </is>
      </c>
      <c r="O36" s="2" t="n"/>
      <c r="P36" t="inlineStr">
        <is>
          <t>Confirmado</t>
        </is>
      </c>
      <c r="Q36" t="inlineStr">
        <is>
          <t>43</t>
        </is>
      </c>
    </row>
    <row r="37">
      <c r="A37" s="10" t="n">
        <v>3108</v>
      </c>
      <c r="B37" s="2" t="inlineStr">
        <is>
          <t>1º Secretário</t>
        </is>
      </c>
      <c r="C37" s="11" t="inlineStr">
        <is>
          <t>dulliusdaniela@gmail.com</t>
        </is>
      </c>
      <c r="D37" s="2" t="inlineStr">
        <is>
          <t>DANIELA HADWIG DULLIUS</t>
        </is>
      </c>
      <c r="E37" s="2" t="inlineStr">
        <is>
          <t>SIM</t>
        </is>
      </c>
      <c r="F37" s="12">
        <f>A37&amp;"|"&amp;B37</f>
        <v/>
      </c>
      <c r="G37" s="13" t="inlineStr">
        <is>
          <t>103022060469</t>
        </is>
      </c>
      <c r="H37" s="2" t="inlineStr">
        <is>
          <t>Nomeado</t>
        </is>
      </c>
      <c r="I37" s="2" t="inlineStr">
        <is>
          <t>Confirmado</t>
        </is>
      </c>
      <c r="J37" s="2" t="inlineStr">
        <is>
          <t>0006/2026</t>
        </is>
      </c>
      <c r="K37" s="2" t="inlineStr">
        <is>
          <t>Sim</t>
        </is>
      </c>
      <c r="L37" s="2" t="inlineStr">
        <is>
          <t>Assinou</t>
        </is>
      </c>
      <c r="M37" s="2" t="inlineStr">
        <is>
          <t>SIM</t>
        </is>
      </c>
      <c r="N37" s="2" t="inlineStr">
        <is>
          <t>OK</t>
        </is>
      </c>
      <c r="O37" s="2" t="n"/>
      <c r="P37" t="inlineStr">
        <is>
          <t>Sem resposta</t>
        </is>
      </c>
      <c r="Q37" t="inlineStr">
        <is>
          <t>—</t>
        </is>
      </c>
    </row>
    <row r="38">
      <c r="A38" s="10" t="n">
        <v>3142</v>
      </c>
      <c r="B38" s="2" t="inlineStr">
        <is>
          <t>Presidente</t>
        </is>
      </c>
      <c r="C38" s="11" t="inlineStr">
        <is>
          <t>beatrizgilli@hotmail.com</t>
        </is>
      </c>
      <c r="D38" s="2" t="inlineStr">
        <is>
          <t>BEATRIZ GILLI HADG KARKACHI</t>
        </is>
      </c>
      <c r="E38" s="2" t="inlineStr">
        <is>
          <t>SIM</t>
        </is>
      </c>
      <c r="F38" s="12">
        <f>A38&amp;"|"&amp;B38</f>
        <v/>
      </c>
      <c r="G38" s="13" t="inlineStr">
        <is>
          <t>335145160175</t>
        </is>
      </c>
      <c r="H38" s="2" t="inlineStr">
        <is>
          <t>Nomeado</t>
        </is>
      </c>
      <c r="I38" s="2" t="inlineStr">
        <is>
          <t>Confirmado</t>
        </is>
      </c>
      <c r="J38" s="2" t="inlineStr">
        <is>
          <t>0006/2026</t>
        </is>
      </c>
      <c r="K38" s="2" t="inlineStr">
        <is>
          <t>Sim</t>
        </is>
      </c>
      <c r="L38" s="2" t="inlineStr">
        <is>
          <t>Assinou</t>
        </is>
      </c>
      <c r="M38" s="2" t="inlineStr">
        <is>
          <t>SIM</t>
        </is>
      </c>
      <c r="N38" s="2" t="inlineStr">
        <is>
          <t>OK</t>
        </is>
      </c>
      <c r="O38" s="2" t="n"/>
      <c r="P38" t="inlineStr">
        <is>
          <t>Confirmado</t>
        </is>
      </c>
      <c r="Q38" t="inlineStr">
        <is>
          <t>47</t>
        </is>
      </c>
    </row>
    <row r="39">
      <c r="A39" s="10" t="n">
        <v>3142</v>
      </c>
      <c r="B39" s="2" t="inlineStr">
        <is>
          <t>1º Mesário</t>
        </is>
      </c>
      <c r="C39" s="11" t="inlineStr">
        <is>
          <t>anabellacastroie@gmail.com</t>
        </is>
      </c>
      <c r="D39" s="2" t="inlineStr">
        <is>
          <t>ANABELLA ALVES DE CASTRO</t>
        </is>
      </c>
      <c r="E39" s="2" t="inlineStr">
        <is>
          <t>SIM</t>
        </is>
      </c>
      <c r="F39" s="12">
        <f>A39&amp;"|"&amp;B39</f>
        <v/>
      </c>
      <c r="G39" s="13" t="inlineStr">
        <is>
          <t>091189510396</t>
        </is>
      </c>
      <c r="H39" s="2" t="inlineStr">
        <is>
          <t>Nomeado</t>
        </is>
      </c>
      <c r="I39" s="2" t="inlineStr">
        <is>
          <t>Confirmado</t>
        </is>
      </c>
      <c r="J39" s="2" t="inlineStr">
        <is>
          <t>0006/2026</t>
        </is>
      </c>
      <c r="K39" s="2" t="inlineStr">
        <is>
          <t>Sim</t>
        </is>
      </c>
      <c r="L39" s="2" t="inlineStr">
        <is>
          <t>Assinou</t>
        </is>
      </c>
      <c r="M39" s="2" t="inlineStr">
        <is>
          <t>SIM</t>
        </is>
      </c>
      <c r="N39" s="2" t="inlineStr">
        <is>
          <t>OK</t>
        </is>
      </c>
      <c r="O39" s="2" t="n"/>
      <c r="P39" t="inlineStr">
        <is>
          <t>Confirmado</t>
        </is>
      </c>
      <c r="Q39" t="inlineStr">
        <is>
          <t>56</t>
        </is>
      </c>
    </row>
    <row r="40">
      <c r="A40" s="10" t="n">
        <v>3142</v>
      </c>
      <c r="B40" s="2" t="inlineStr">
        <is>
          <t>2º Mesário</t>
        </is>
      </c>
      <c r="C40" s="11" t="inlineStr">
        <is>
          <t>juli_tico@hotmail.com</t>
        </is>
      </c>
      <c r="D40" s="2" t="inlineStr">
        <is>
          <t>JULIANA CASSIA TAVARES DE SOUSA</t>
        </is>
      </c>
      <c r="E40" s="2" t="inlineStr">
        <is>
          <t>SIM</t>
        </is>
      </c>
      <c r="F40" s="12">
        <f>A40&amp;"|"&amp;B40</f>
        <v/>
      </c>
      <c r="G40" s="13" t="inlineStr">
        <is>
          <t>323422120183</t>
        </is>
      </c>
      <c r="H40" s="2" t="inlineStr">
        <is>
          <t>Nomeado</t>
        </is>
      </c>
      <c r="I40" s="2" t="inlineStr">
        <is>
          <t>Confirmado</t>
        </is>
      </c>
      <c r="J40" s="2" t="inlineStr">
        <is>
          <t>0006/2026</t>
        </is>
      </c>
      <c r="K40" s="2" t="inlineStr">
        <is>
          <t>Sim</t>
        </is>
      </c>
      <c r="L40" s="2" t="inlineStr">
        <is>
          <t>Assinou</t>
        </is>
      </c>
      <c r="M40" s="2" t="inlineStr">
        <is>
          <t>SIM</t>
        </is>
      </c>
      <c r="N40" s="2" t="inlineStr">
        <is>
          <t>OK</t>
        </is>
      </c>
      <c r="O40" s="2" t="n"/>
      <c r="P40" t="inlineStr">
        <is>
          <t>Confirmado</t>
        </is>
      </c>
      <c r="Q40" t="inlineStr">
        <is>
          <t>16</t>
        </is>
      </c>
    </row>
    <row r="41">
      <c r="A41" s="10" t="n">
        <v>3142</v>
      </c>
      <c r="B41" s="2" t="inlineStr">
        <is>
          <t>1º Secretário</t>
        </is>
      </c>
      <c r="C41" s="11" t="inlineStr">
        <is>
          <t>lincolnguedesc@gmail.com</t>
        </is>
      </c>
      <c r="D41" s="2" t="inlineStr">
        <is>
          <t>LINCOLN CUBAS GUEDES</t>
        </is>
      </c>
      <c r="E41" s="2" t="inlineStr">
        <is>
          <t>SIM</t>
        </is>
      </c>
      <c r="F41" s="12">
        <f>A41&amp;"|"&amp;B41</f>
        <v/>
      </c>
      <c r="G41" s="13" t="inlineStr">
        <is>
          <t>107479210647</t>
        </is>
      </c>
      <c r="H41" s="2" t="inlineStr">
        <is>
          <t>Nomeado</t>
        </is>
      </c>
      <c r="I41" s="2" t="inlineStr">
        <is>
          <t>Confirmado</t>
        </is>
      </c>
      <c r="J41" s="2" t="inlineStr">
        <is>
          <t>0006/2026</t>
        </is>
      </c>
      <c r="K41" s="2" t="inlineStr">
        <is>
          <t>Não</t>
        </is>
      </c>
      <c r="L41" s="2" t="inlineStr">
        <is>
          <t>Não consta</t>
        </is>
      </c>
      <c r="M41" s="2" t="inlineStr">
        <is>
          <t>NAO</t>
        </is>
      </c>
      <c r="N41" s="2" t="n"/>
      <c r="O41" s="2" t="inlineStr">
        <is>
          <t>Elo: Confirmado em 30/09, mas não consta em nenhum boletim</t>
        </is>
      </c>
      <c r="P41" t="inlineStr">
        <is>
          <t>Confirmado</t>
        </is>
      </c>
      <c r="Q41" t="inlineStr">
        <is>
          <t>45, 46</t>
        </is>
      </c>
      <c r="R41" t="inlineStr">
        <is>
          <t>Respostas conflitantes (ID 45 NÃO → ID 46 SIM); vale a última — confirmar por contato; Confirmou o 2º turno, mas foi AUSENTE no 1º turno</t>
        </is>
      </c>
    </row>
    <row r="42">
      <c r="A42" s="10" t="n">
        <v>3161</v>
      </c>
      <c r="B42" s="2" t="inlineStr">
        <is>
          <t>Presidente</t>
        </is>
      </c>
      <c r="C42" s="11" t="inlineStr">
        <is>
          <t>Marcelatkondo@gmail.com</t>
        </is>
      </c>
      <c r="D42" s="2" t="inlineStr">
        <is>
          <t>MARCELA TIYOKO PASSOS KONDO</t>
        </is>
      </c>
      <c r="E42" s="2" t="inlineStr">
        <is>
          <t>NAO</t>
        </is>
      </c>
      <c r="F42" s="12">
        <f>A42&amp;"|"&amp;B42</f>
        <v/>
      </c>
      <c r="G42" s="13" t="inlineStr">
        <is>
          <t>431799970116</t>
        </is>
      </c>
      <c r="H42" s="2" t="inlineStr">
        <is>
          <t>Convocado</t>
        </is>
      </c>
      <c r="I42" s="2" t="inlineStr">
        <is>
          <t>Sem resposta</t>
        </is>
      </c>
      <c r="J42" s="2" t="inlineStr">
        <is>
          <t>-</t>
        </is>
      </c>
      <c r="K42" s="2" t="inlineStr">
        <is>
          <t>Não</t>
        </is>
      </c>
      <c r="L42" s="2" t="inlineStr">
        <is>
          <t>Não consta</t>
        </is>
      </c>
      <c r="M42" s="2" t="inlineStr">
        <is>
          <t>NAO</t>
        </is>
      </c>
      <c r="N42" s="2" t="inlineStr">
        <is>
          <t>OK</t>
        </is>
      </c>
      <c r="O42" s="2" t="n"/>
      <c r="P42" t="inlineStr">
        <is>
          <t>Sem resposta</t>
        </is>
      </c>
      <c r="Q42" t="inlineStr">
        <is>
          <t>—</t>
        </is>
      </c>
    </row>
    <row r="43">
      <c r="A43" s="10" t="n">
        <v>3161</v>
      </c>
      <c r="B43" s="2" t="inlineStr">
        <is>
          <t>1º Mesário</t>
        </is>
      </c>
      <c r="C43" s="11" t="inlineStr">
        <is>
          <t>talita.montysuma@gmail.com</t>
        </is>
      </c>
      <c r="D43" s="2" t="inlineStr">
        <is>
          <t>TALITA MORTARI MONTYSUMA</t>
        </is>
      </c>
      <c r="E43" s="2" t="inlineStr">
        <is>
          <t>SIM</t>
        </is>
      </c>
      <c r="F43" s="12">
        <f>A43&amp;"|"&amp;B43</f>
        <v/>
      </c>
      <c r="G43" s="13" t="inlineStr">
        <is>
          <t>003983782410</t>
        </is>
      </c>
      <c r="H43" s="2" t="inlineStr">
        <is>
          <t>Nomeado</t>
        </is>
      </c>
      <c r="I43" s="2" t="inlineStr">
        <is>
          <t>Sem resposta</t>
        </is>
      </c>
      <c r="J43" s="2" t="inlineStr">
        <is>
          <t>0006/2026</t>
        </is>
      </c>
      <c r="K43" s="2" t="inlineStr">
        <is>
          <t>Sim</t>
        </is>
      </c>
      <c r="L43" s="2" t="inlineStr">
        <is>
          <t>Não consta</t>
        </is>
      </c>
      <c r="M43" s="2" t="inlineStr">
        <is>
          <t>SIM</t>
        </is>
      </c>
      <c r="N43" s="2" t="inlineStr">
        <is>
          <t>OK</t>
        </is>
      </c>
      <c r="O43" s="2" t="inlineStr">
        <is>
          <t>Elo: Sem resposta em 30/09, mas compareceu</t>
        </is>
      </c>
      <c r="P43" t="inlineStr">
        <is>
          <t>Confirmado</t>
        </is>
      </c>
      <c r="Q43" t="inlineStr">
        <is>
          <t>9</t>
        </is>
      </c>
    </row>
    <row r="44">
      <c r="A44" s="10" t="n">
        <v>3161</v>
      </c>
      <c r="B44" s="2" t="inlineStr">
        <is>
          <t>2º Mesário</t>
        </is>
      </c>
      <c r="C44" s="11" t="inlineStr">
        <is>
          <t>nvlousada@gmail.com</t>
        </is>
      </c>
      <c r="D44" s="2" t="inlineStr">
        <is>
          <t>NASTASSJA VERONICA LOUSADA GOMES</t>
        </is>
      </c>
      <c r="E44" s="2" t="inlineStr">
        <is>
          <t>SIM</t>
        </is>
      </c>
      <c r="F44" s="12">
        <f>A44&amp;"|"&amp;B44</f>
        <v/>
      </c>
      <c r="G44" s="13" t="inlineStr">
        <is>
          <t>361646820183</t>
        </is>
      </c>
      <c r="H44" s="2" t="inlineStr">
        <is>
          <t>Nomeado</t>
        </is>
      </c>
      <c r="I44" s="2" t="inlineStr">
        <is>
          <t>Confirmado</t>
        </is>
      </c>
      <c r="J44" s="2" t="inlineStr">
        <is>
          <t>0006/2026</t>
        </is>
      </c>
      <c r="K44" s="2" t="inlineStr">
        <is>
          <t>Sim</t>
        </is>
      </c>
      <c r="L44" s="2" t="inlineStr">
        <is>
          <t>Assinou (assinatura rasurada)</t>
        </is>
      </c>
      <c r="M44" s="2" t="inlineStr">
        <is>
          <t>SIM</t>
        </is>
      </c>
      <c r="N44" s="2" t="inlineStr">
        <is>
          <t>OK</t>
        </is>
      </c>
      <c r="O44" s="2" t="n"/>
      <c r="P44" t="inlineStr">
        <is>
          <t>Confirmado</t>
        </is>
      </c>
      <c r="Q44" t="inlineStr">
        <is>
          <t>36</t>
        </is>
      </c>
    </row>
    <row r="45">
      <c r="A45" s="10" t="n">
        <v>3161</v>
      </c>
      <c r="B45" s="2" t="inlineStr">
        <is>
          <t>1º Secretário</t>
        </is>
      </c>
      <c r="C45" s="11" t="inlineStr">
        <is>
          <t>anthonyedasilvagapito@gmail.com</t>
        </is>
      </c>
      <c r="D45" s="2" t="inlineStr">
        <is>
          <t>ANTHONY EDWARD DA SILVA AGAPITO</t>
        </is>
      </c>
      <c r="E45" s="2" t="inlineStr">
        <is>
          <t>SIM</t>
        </is>
      </c>
      <c r="F45" s="12">
        <f>A45&amp;"|"&amp;B45</f>
        <v/>
      </c>
      <c r="G45" s="13" t="inlineStr">
        <is>
          <t>470520130124</t>
        </is>
      </c>
      <c r="H45" s="2" t="inlineStr">
        <is>
          <t>Nomeado</t>
        </is>
      </c>
      <c r="I45" s="2" t="inlineStr">
        <is>
          <t>Confirmado</t>
        </is>
      </c>
      <c r="J45" s="2" t="inlineStr">
        <is>
          <t>0006/2026</t>
        </is>
      </c>
      <c r="K45" s="2" t="inlineStr">
        <is>
          <t>Sim</t>
        </is>
      </c>
      <c r="L45" s="2" t="inlineStr">
        <is>
          <t>Assinou</t>
        </is>
      </c>
      <c r="M45" s="2" t="inlineStr">
        <is>
          <t>SIM</t>
        </is>
      </c>
      <c r="N45" s="2" t="inlineStr">
        <is>
          <t>OK</t>
        </is>
      </c>
      <c r="O45" s="2" t="n"/>
      <c r="P45" t="inlineStr">
        <is>
          <t>Sem resposta</t>
        </is>
      </c>
      <c r="Q45" t="inlineStr">
        <is>
          <t>—</t>
        </is>
      </c>
    </row>
    <row r="46">
      <c r="A46" s="10" t="n">
        <v>3179</v>
      </c>
      <c r="B46" s="2" t="inlineStr">
        <is>
          <t>Presidente</t>
        </is>
      </c>
      <c r="C46" s="11" t="inlineStr">
        <is>
          <t>rochae@tcd.ie</t>
        </is>
      </c>
      <c r="D46" s="2" t="inlineStr">
        <is>
          <t>ELTON APARECIDO ROCHA</t>
        </is>
      </c>
      <c r="E46" s="2" t="inlineStr">
        <is>
          <t>SIM</t>
        </is>
      </c>
      <c r="F46" s="12">
        <f>A46&amp;"|"&amp;B46</f>
        <v/>
      </c>
      <c r="G46" s="13" t="inlineStr">
        <is>
          <t>360443460108</t>
        </is>
      </c>
      <c r="H46" s="2" t="inlineStr">
        <is>
          <t>Nomeado</t>
        </is>
      </c>
      <c r="I46" s="2" t="inlineStr">
        <is>
          <t>Confirmado</t>
        </is>
      </c>
      <c r="J46" s="2" t="inlineStr">
        <is>
          <t>0006/2026</t>
        </is>
      </c>
      <c r="K46" s="2" t="inlineStr">
        <is>
          <t>Sim</t>
        </is>
      </c>
      <c r="L46" s="2" t="inlineStr">
        <is>
          <t>Assinou</t>
        </is>
      </c>
      <c r="M46" s="2" t="inlineStr">
        <is>
          <t>SIM</t>
        </is>
      </c>
      <c r="N46" s="2" t="inlineStr">
        <is>
          <t>OK</t>
        </is>
      </c>
      <c r="O46" s="2" t="n"/>
      <c r="P46" t="inlineStr">
        <is>
          <t>Confirmado</t>
        </is>
      </c>
      <c r="Q46" t="inlineStr">
        <is>
          <t>61</t>
        </is>
      </c>
    </row>
    <row r="47">
      <c r="A47" s="10" t="n">
        <v>3179</v>
      </c>
      <c r="B47" s="2" t="inlineStr">
        <is>
          <t>1º Mesário</t>
        </is>
      </c>
      <c r="C47" s="11" t="inlineStr">
        <is>
          <t>andersonsilverio14@gmail.com</t>
        </is>
      </c>
      <c r="D47" s="2" t="inlineStr">
        <is>
          <t>ANDERSON SILVERIO DE OLIVEIRA</t>
        </is>
      </c>
      <c r="E47" s="2" t="inlineStr">
        <is>
          <t>NAO</t>
        </is>
      </c>
      <c r="F47" s="12">
        <f>A47&amp;"|"&amp;B47</f>
        <v/>
      </c>
      <c r="G47" s="13" t="inlineStr">
        <is>
          <t>377789170183</t>
        </is>
      </c>
      <c r="H47" s="2" t="inlineStr">
        <is>
          <t>Nomeado</t>
        </is>
      </c>
      <c r="I47" s="2" t="inlineStr">
        <is>
          <t>Confirmado</t>
        </is>
      </c>
      <c r="J47" s="2" t="inlineStr">
        <is>
          <t>0006/2026</t>
        </is>
      </c>
      <c r="K47" s="2" t="inlineStr">
        <is>
          <t>Não</t>
        </is>
      </c>
      <c r="L47" s="2" t="inlineStr">
        <is>
          <t>Não consta</t>
        </is>
      </c>
      <c r="M47" s="2" t="inlineStr">
        <is>
          <t>NAO</t>
        </is>
      </c>
      <c r="N47" s="2" t="inlineStr">
        <is>
          <t>OK</t>
        </is>
      </c>
      <c r="O47" s="2" t="inlineStr">
        <is>
          <t>Elo: Confirmado em 30/09, mas não consta em nenhum boletim</t>
        </is>
      </c>
      <c r="P47" t="inlineStr">
        <is>
          <t>Sem resposta</t>
        </is>
      </c>
      <c r="Q47" t="inlineStr">
        <is>
          <t>—</t>
        </is>
      </c>
    </row>
    <row r="48">
      <c r="A48" s="10" t="n">
        <v>3179</v>
      </c>
      <c r="B48" s="2" t="inlineStr">
        <is>
          <t>2º Mesário</t>
        </is>
      </c>
      <c r="C48" s="11" t="inlineStr">
        <is>
          <t>jussara.veneza@hotmail.com</t>
        </is>
      </c>
      <c r="D48" s="2" t="inlineStr">
        <is>
          <t>JUSSARA VENEZA SOARES</t>
        </is>
      </c>
      <c r="E48" s="2" t="inlineStr">
        <is>
          <t>NAO</t>
        </is>
      </c>
      <c r="F48" s="12">
        <f>A48&amp;"|"&amp;B48</f>
        <v/>
      </c>
      <c r="G48" s="13" t="inlineStr">
        <is>
          <t>392475340116</t>
        </is>
      </c>
      <c r="H48" s="2" t="inlineStr">
        <is>
          <t>Nomeado</t>
        </is>
      </c>
      <c r="I48" s="2" t="inlineStr">
        <is>
          <t>Pedido de dispensa</t>
        </is>
      </c>
      <c r="J48" s="2" t="inlineStr">
        <is>
          <t>0006/2026</t>
        </is>
      </c>
      <c r="K48" s="2" t="inlineStr">
        <is>
          <t>Não</t>
        </is>
      </c>
      <c r="L48" s="2" t="inlineStr">
        <is>
          <t>Não consta</t>
        </is>
      </c>
      <c r="M48" s="2" t="inlineStr">
        <is>
          <t>NAO</t>
        </is>
      </c>
      <c r="N48" s="2" t="inlineStr">
        <is>
          <t>OK</t>
        </is>
      </c>
      <c r="O48" s="2" t="n"/>
      <c r="P48" t="inlineStr">
        <is>
          <t>Não volta</t>
        </is>
      </c>
      <c r="Q48" t="inlineStr">
        <is>
          <t>25</t>
        </is>
      </c>
    </row>
    <row r="49">
      <c r="A49" s="10" t="n">
        <v>3179</v>
      </c>
      <c r="B49" s="2" t="inlineStr">
        <is>
          <t>1º Secretário</t>
        </is>
      </c>
      <c r="C49" s="11" t="inlineStr">
        <is>
          <t>perontayna@gmail.com</t>
        </is>
      </c>
      <c r="D49" s="2" t="inlineStr">
        <is>
          <t>TAYNA STETELI PERON LOPES SILVA</t>
        </is>
      </c>
      <c r="E49" s="2" t="inlineStr">
        <is>
          <t>SIM</t>
        </is>
      </c>
      <c r="F49" s="12">
        <f>A49&amp;"|"&amp;B49</f>
        <v/>
      </c>
      <c r="G49" s="13" t="inlineStr">
        <is>
          <t>403513700175</t>
        </is>
      </c>
      <c r="H49" s="2" t="inlineStr">
        <is>
          <t>Nomeado</t>
        </is>
      </c>
      <c r="I49" s="2" t="inlineStr">
        <is>
          <t>Confirmado</t>
        </is>
      </c>
      <c r="J49" s="2" t="inlineStr">
        <is>
          <t>0006/2026</t>
        </is>
      </c>
      <c r="K49" s="2" t="inlineStr">
        <is>
          <t>Sim</t>
        </is>
      </c>
      <c r="L49" s="2" t="inlineStr">
        <is>
          <t>Assinou</t>
        </is>
      </c>
      <c r="M49" s="2" t="inlineStr">
        <is>
          <t>SIM</t>
        </is>
      </c>
      <c r="N49" s="2" t="inlineStr">
        <is>
          <t>OK</t>
        </is>
      </c>
      <c r="O49" s="2" t="n"/>
      <c r="P49" t="inlineStr">
        <is>
          <t>Confirmado</t>
        </is>
      </c>
      <c r="Q49" t="inlineStr">
        <is>
          <t>48</t>
        </is>
      </c>
    </row>
    <row r="50">
      <c r="A50" s="10" t="n">
        <v>3216</v>
      </c>
      <c r="B50" s="2" t="inlineStr">
        <is>
          <t>Presidente</t>
        </is>
      </c>
      <c r="C50" s="11" t="inlineStr">
        <is>
          <t>julianacampos21@hotmail.com</t>
        </is>
      </c>
      <c r="D50" s="2" t="inlineStr">
        <is>
          <t>JULIANA HENRIQUE CAMPOS SILVA</t>
        </is>
      </c>
      <c r="E50" s="2" t="inlineStr">
        <is>
          <t>SIM</t>
        </is>
      </c>
      <c r="F50" s="12">
        <f>A50&amp;"|"&amp;B50</f>
        <v/>
      </c>
      <c r="G50" s="13" t="inlineStr">
        <is>
          <t>056716440833</t>
        </is>
      </c>
      <c r="H50" s="2" t="inlineStr">
        <is>
          <t>Nomeado</t>
        </is>
      </c>
      <c r="I50" s="2" t="inlineStr">
        <is>
          <t>Confirmado</t>
        </is>
      </c>
      <c r="J50" s="2" t="inlineStr">
        <is>
          <t>0006/2026</t>
        </is>
      </c>
      <c r="K50" s="2" t="inlineStr">
        <is>
          <t>Sim</t>
        </is>
      </c>
      <c r="L50" s="2" t="inlineStr">
        <is>
          <t>Não consta</t>
        </is>
      </c>
      <c r="M50" s="2" t="inlineStr">
        <is>
          <t>SIM</t>
        </is>
      </c>
      <c r="N50" s="2" t="inlineStr">
        <is>
          <t>OK</t>
        </is>
      </c>
      <c r="O50" s="2" t="n"/>
      <c r="P50" t="inlineStr">
        <is>
          <t>Confirmado</t>
        </is>
      </c>
      <c r="Q50" t="inlineStr">
        <is>
          <t>18</t>
        </is>
      </c>
    </row>
    <row r="51">
      <c r="A51" s="10" t="n">
        <v>3216</v>
      </c>
      <c r="B51" s="2" t="inlineStr">
        <is>
          <t>1º Mesário</t>
        </is>
      </c>
      <c r="C51" s="11" t="inlineStr">
        <is>
          <t>lilianebr.dublin@gmail.com</t>
        </is>
      </c>
      <c r="D51" s="2" t="inlineStr">
        <is>
          <t>LILIANE SILVA DE SOUZA</t>
        </is>
      </c>
      <c r="E51" s="2" t="inlineStr">
        <is>
          <t>SIM</t>
        </is>
      </c>
      <c r="F51" s="12">
        <f>A51&amp;"|"&amp;B51</f>
        <v/>
      </c>
      <c r="G51" s="13" t="inlineStr">
        <is>
          <t>331599550141</t>
        </is>
      </c>
      <c r="H51" s="2" t="inlineStr">
        <is>
          <t>Nomeado</t>
        </is>
      </c>
      <c r="I51" s="2" t="inlineStr">
        <is>
          <t>Confirmado</t>
        </is>
      </c>
      <c r="J51" s="2" t="inlineStr">
        <is>
          <t>0006/2026</t>
        </is>
      </c>
      <c r="K51" s="2" t="inlineStr">
        <is>
          <t>Sim, também na urna 3322</t>
        </is>
      </c>
      <c r="L51" s="2" t="inlineStr">
        <is>
          <t>Assinou; Nome sem assinatura (urna 3322)</t>
        </is>
      </c>
      <c r="M51" s="2" t="inlineStr">
        <is>
          <t>SIM</t>
        </is>
      </c>
      <c r="N51" s="2" t="inlineStr">
        <is>
          <t>OK</t>
        </is>
      </c>
      <c r="O51" s="2" t="inlineStr">
        <is>
          <t>Aparece também em boletim de outra urna</t>
        </is>
      </c>
      <c r="P51" t="inlineStr">
        <is>
          <t>Sem resposta</t>
        </is>
      </c>
      <c r="Q51" t="inlineStr">
        <is>
          <t>—</t>
        </is>
      </c>
    </row>
    <row r="52">
      <c r="A52" s="10" t="n">
        <v>3216</v>
      </c>
      <c r="B52" s="2" t="inlineStr">
        <is>
          <t>2º Mesário</t>
        </is>
      </c>
      <c r="C52" s="11" t="inlineStr">
        <is>
          <t>jack_610aparecida@hormail.com</t>
        </is>
      </c>
      <c r="D52" s="2" t="inlineStr">
        <is>
          <t>JAQUELINE APARECIDA TEIXEIRA</t>
        </is>
      </c>
      <c r="E52" s="2" t="inlineStr">
        <is>
          <t>SIM</t>
        </is>
      </c>
      <c r="F52" s="12">
        <f>A52&amp;"|"&amp;B52</f>
        <v/>
      </c>
      <c r="G52" s="13" t="inlineStr">
        <is>
          <t>371878170191</t>
        </is>
      </c>
      <c r="H52" s="2" t="inlineStr">
        <is>
          <t>Nomeado</t>
        </is>
      </c>
      <c r="I52" s="2" t="inlineStr">
        <is>
          <t>Confirmado</t>
        </is>
      </c>
      <c r="J52" s="2" t="inlineStr">
        <is>
          <t>0006/2026</t>
        </is>
      </c>
      <c r="K52" s="2" t="inlineStr">
        <is>
          <t>Sim</t>
        </is>
      </c>
      <c r="L52" s="2" t="inlineStr">
        <is>
          <t>Nome sem assinatura</t>
        </is>
      </c>
      <c r="M52" s="2" t="inlineStr">
        <is>
          <t>SIM</t>
        </is>
      </c>
      <c r="N52" s="2" t="inlineStr">
        <is>
          <t>OK</t>
        </is>
      </c>
      <c r="O52" s="2" t="n"/>
      <c r="P52" t="inlineStr">
        <is>
          <t>Confirmado</t>
        </is>
      </c>
      <c r="Q52" t="inlineStr">
        <is>
          <t>53</t>
        </is>
      </c>
    </row>
    <row r="53">
      <c r="A53" s="10" t="n">
        <v>3216</v>
      </c>
      <c r="B53" s="2" t="inlineStr">
        <is>
          <t>1º Secretário</t>
        </is>
      </c>
      <c r="C53" s="11" t="inlineStr">
        <is>
          <t>iglesias_diogo@hotmail.com</t>
        </is>
      </c>
      <c r="D53" s="2" t="inlineStr">
        <is>
          <t>DIOGO IGLESIAS CORDEIRO</t>
        </is>
      </c>
      <c r="E53" s="2" t="inlineStr">
        <is>
          <t>SIM</t>
        </is>
      </c>
      <c r="F53" s="12">
        <f>A53&amp;"|"&amp;B53</f>
        <v/>
      </c>
      <c r="G53" s="13" t="inlineStr">
        <is>
          <t>031790652283</t>
        </is>
      </c>
      <c r="H53" s="2" t="inlineStr">
        <is>
          <t>Nomeado</t>
        </is>
      </c>
      <c r="I53" s="2" t="inlineStr">
        <is>
          <t>Confirmado</t>
        </is>
      </c>
      <c r="J53" s="2" t="inlineStr">
        <is>
          <t>0006/2026</t>
        </is>
      </c>
      <c r="K53" s="2" t="inlineStr">
        <is>
          <t>Sim</t>
        </is>
      </c>
      <c r="L53" s="2" t="inlineStr">
        <is>
          <t>Assinou</t>
        </is>
      </c>
      <c r="M53" s="2" t="inlineStr">
        <is>
          <t>SIM</t>
        </is>
      </c>
      <c r="N53" s="2" t="inlineStr">
        <is>
          <t>OK</t>
        </is>
      </c>
      <c r="O53" s="2" t="n"/>
      <c r="P53" t="inlineStr">
        <is>
          <t>Confirmado</t>
        </is>
      </c>
      <c r="Q53" t="inlineStr">
        <is>
          <t>17</t>
        </is>
      </c>
    </row>
    <row r="54">
      <c r="A54" s="10" t="n">
        <v>3229</v>
      </c>
      <c r="B54" s="2" t="inlineStr">
        <is>
          <t>Presidente</t>
        </is>
      </c>
      <c r="C54" s="11" t="inlineStr">
        <is>
          <t>ediones.savaris@gmail.com</t>
        </is>
      </c>
      <c r="D54" s="2" t="inlineStr">
        <is>
          <t>EDIONES DINIZ SAVARIS</t>
        </is>
      </c>
      <c r="E54" s="2" t="inlineStr">
        <is>
          <t>SIM</t>
        </is>
      </c>
      <c r="F54" s="12">
        <f>A54&amp;"|"&amp;B54</f>
        <v/>
      </c>
      <c r="G54" s="13" t="inlineStr">
        <is>
          <t>020776902208</t>
        </is>
      </c>
      <c r="H54" s="2" t="inlineStr">
        <is>
          <t>Nomeado</t>
        </is>
      </c>
      <c r="I54" s="2" t="inlineStr">
        <is>
          <t>Confirmado</t>
        </is>
      </c>
      <c r="J54" s="2" t="inlineStr">
        <is>
          <t>0006/2026</t>
        </is>
      </c>
      <c r="K54" s="2" t="inlineStr">
        <is>
          <t>Sim</t>
        </is>
      </c>
      <c r="L54" s="2" t="inlineStr">
        <is>
          <t>Assinou (fora da linha própria)</t>
        </is>
      </c>
      <c r="M54" s="2" t="inlineStr">
        <is>
          <t>SIM</t>
        </is>
      </c>
      <c r="N54" s="2" t="inlineStr">
        <is>
          <t>OK</t>
        </is>
      </c>
      <c r="O54" s="2" t="n"/>
      <c r="P54" t="inlineStr">
        <is>
          <t>Confirmado</t>
        </is>
      </c>
      <c r="Q54" t="inlineStr">
        <is>
          <t>5</t>
        </is>
      </c>
    </row>
    <row r="55">
      <c r="A55" s="10" t="n">
        <v>3229</v>
      </c>
      <c r="B55" s="2" t="inlineStr">
        <is>
          <t>1º Mesário</t>
        </is>
      </c>
      <c r="C55" s="11" t="inlineStr">
        <is>
          <t>sousa.franciscaa@gmail.com</t>
        </is>
      </c>
      <c r="D55" s="2" t="inlineStr">
        <is>
          <t>FRANCISCA THAMIRES DE SOUSA</t>
        </is>
      </c>
      <c r="E55" s="2" t="inlineStr">
        <is>
          <t>SIM</t>
        </is>
      </c>
      <c r="F55" s="12">
        <f>A55&amp;"|"&amp;B55</f>
        <v/>
      </c>
      <c r="G55" s="13" t="inlineStr">
        <is>
          <t>388263170124</t>
        </is>
      </c>
      <c r="H55" s="2" t="inlineStr">
        <is>
          <t>Nomeado</t>
        </is>
      </c>
      <c r="I55" s="2" t="inlineStr">
        <is>
          <t>Confirmado</t>
        </is>
      </c>
      <c r="J55" s="2" t="inlineStr">
        <is>
          <t>0006/2026</t>
        </is>
      </c>
      <c r="K55" s="2" t="inlineStr">
        <is>
          <t>Sim</t>
        </is>
      </c>
      <c r="L55" s="2" t="inlineStr">
        <is>
          <t>Assinou</t>
        </is>
      </c>
      <c r="M55" s="2" t="inlineStr">
        <is>
          <t>SIM</t>
        </is>
      </c>
      <c r="N55" s="2" t="inlineStr">
        <is>
          <t>OK</t>
        </is>
      </c>
      <c r="O55" s="2" t="n"/>
      <c r="P55" t="inlineStr">
        <is>
          <t>Sem resposta</t>
        </is>
      </c>
      <c r="Q55" t="inlineStr">
        <is>
          <t>—</t>
        </is>
      </c>
    </row>
    <row r="56">
      <c r="A56" s="10" t="n">
        <v>3229</v>
      </c>
      <c r="B56" s="2" t="inlineStr">
        <is>
          <t>2º Mesário</t>
        </is>
      </c>
      <c r="C56" s="11" t="inlineStr">
        <is>
          <t>auroramomolina@icloud.com</t>
        </is>
      </c>
      <c r="D56" s="2" t="inlineStr">
        <is>
          <t>AURORA MADRIL OLIVEIRA MOLINA</t>
        </is>
      </c>
      <c r="E56" s="2" t="inlineStr">
        <is>
          <t>SIM</t>
        </is>
      </c>
      <c r="F56" s="12">
        <f>A56&amp;"|"&amp;B56</f>
        <v/>
      </c>
      <c r="G56" s="13" t="inlineStr">
        <is>
          <t>069455401368</t>
        </is>
      </c>
      <c r="H56" s="2" t="inlineStr">
        <is>
          <t>Nomeado</t>
        </is>
      </c>
      <c r="I56" s="2" t="inlineStr">
        <is>
          <t>Confirmado</t>
        </is>
      </c>
      <c r="J56" s="2" t="inlineStr">
        <is>
          <t>0006/2026</t>
        </is>
      </c>
      <c r="K56" s="2" t="inlineStr">
        <is>
          <t>Sim</t>
        </is>
      </c>
      <c r="L56" s="2" t="inlineStr">
        <is>
          <t>Assinou</t>
        </is>
      </c>
      <c r="M56" s="2" t="inlineStr">
        <is>
          <t>SIM</t>
        </is>
      </c>
      <c r="N56" s="2" t="inlineStr">
        <is>
          <t>OK</t>
        </is>
      </c>
      <c r="O56" s="2" t="n"/>
      <c r="P56" t="inlineStr">
        <is>
          <t>Confirmado</t>
        </is>
      </c>
      <c r="Q56" t="inlineStr">
        <is>
          <t>27</t>
        </is>
      </c>
    </row>
    <row r="57">
      <c r="A57" s="10" t="n">
        <v>3229</v>
      </c>
      <c r="B57" s="2" t="inlineStr">
        <is>
          <t>1º Secretário</t>
        </is>
      </c>
      <c r="C57" s="11" t="inlineStr">
        <is>
          <t>lcaprezzi@gmail.com</t>
        </is>
      </c>
      <c r="D57" s="2" t="inlineStr">
        <is>
          <t>LUCAS FEITOSA CLAUDINO</t>
        </is>
      </c>
      <c r="E57" s="2" t="inlineStr">
        <is>
          <t>SIM</t>
        </is>
      </c>
      <c r="F57" s="12">
        <f>A57&amp;"|"&amp;B57</f>
        <v/>
      </c>
      <c r="G57" s="13" t="inlineStr">
        <is>
          <t>144785730507</t>
        </is>
      </c>
      <c r="H57" s="2" t="inlineStr">
        <is>
          <t>Nomeado</t>
        </is>
      </c>
      <c r="I57" s="2" t="inlineStr">
        <is>
          <t>Confirmado</t>
        </is>
      </c>
      <c r="J57" s="2" t="inlineStr">
        <is>
          <t>0006/2026</t>
        </is>
      </c>
      <c r="K57" s="2" t="inlineStr">
        <is>
          <t>Sim</t>
        </is>
      </c>
      <c r="L57" s="2" t="inlineStr">
        <is>
          <t>Assinou</t>
        </is>
      </c>
      <c r="M57" s="2" t="inlineStr">
        <is>
          <t>SIM</t>
        </is>
      </c>
      <c r="N57" s="2" t="inlineStr">
        <is>
          <t>OK</t>
        </is>
      </c>
      <c r="O57" s="2" t="n"/>
      <c r="P57" t="inlineStr">
        <is>
          <t>Sem resposta</t>
        </is>
      </c>
      <c r="Q57" t="inlineStr">
        <is>
          <t>—</t>
        </is>
      </c>
    </row>
    <row r="58">
      <c r="A58" s="10" t="n">
        <v>3245</v>
      </c>
      <c r="B58" s="2" t="inlineStr">
        <is>
          <t>Presidente</t>
        </is>
      </c>
      <c r="C58" s="11" t="inlineStr">
        <is>
          <t>marianagasparetti@gmail.com</t>
        </is>
      </c>
      <c r="D58" s="2" t="inlineStr">
        <is>
          <t>MARIANA JURANDIR GASPARETTI</t>
        </is>
      </c>
      <c r="E58" s="2" t="inlineStr">
        <is>
          <t>0006/2026</t>
        </is>
      </c>
      <c r="F58" s="12">
        <f>A58&amp;"|"&amp;B58</f>
        <v/>
      </c>
      <c r="G58" s="13" t="inlineStr">
        <is>
          <t>344762680183</t>
        </is>
      </c>
      <c r="H58" s="2" t="inlineStr">
        <is>
          <t>Nomeado</t>
        </is>
      </c>
      <c r="I58" s="2" t="inlineStr">
        <is>
          <t>Confirmado</t>
        </is>
      </c>
      <c r="J58" s="2" t="inlineStr">
        <is>
          <t>0006/2026</t>
        </is>
      </c>
      <c r="K58" s="2" t="inlineStr">
        <is>
          <t>Sim</t>
        </is>
      </c>
      <c r="L58" s="2" t="inlineStr">
        <is>
          <t>Não consta</t>
        </is>
      </c>
      <c r="M58" s="2" t="inlineStr">
        <is>
          <t>SIM</t>
        </is>
      </c>
      <c r="N58" s="2" t="n"/>
      <c r="O58" s="2" t="inlineStr">
        <is>
          <t>Fechamento da urna sem nomes nem assinaturas</t>
        </is>
      </c>
      <c r="P58" t="inlineStr">
        <is>
          <t>Confirmado</t>
        </is>
      </c>
      <c r="Q58" t="inlineStr">
        <is>
          <t>66</t>
        </is>
      </c>
    </row>
    <row r="59">
      <c r="A59" s="10" t="n">
        <v>3245</v>
      </c>
      <c r="B59" s="2" t="inlineStr">
        <is>
          <t>1º Mesário</t>
        </is>
      </c>
      <c r="C59" s="14" t="inlineStr">
        <is>
          <t>sem contato</t>
        </is>
      </c>
      <c r="D59" s="2" t="inlineStr">
        <is>
          <t>JOAO GABRIEL BARBOSA CESAR</t>
        </is>
      </c>
      <c r="E59" s="2" t="inlineStr">
        <is>
          <t>0006/2026</t>
        </is>
      </c>
      <c r="F59" s="12">
        <f>A59&amp;"|"&amp;B59</f>
        <v/>
      </c>
      <c r="G59" s="13" t="inlineStr">
        <is>
          <t>164261590310</t>
        </is>
      </c>
      <c r="H59" s="2" t="inlineStr">
        <is>
          <t>Nomeado</t>
        </is>
      </c>
      <c r="I59" s="2" t="inlineStr">
        <is>
          <t>Confirmado</t>
        </is>
      </c>
      <c r="J59" s="2" t="inlineStr">
        <is>
          <t>0006/2026</t>
        </is>
      </c>
      <c r="K59" s="2" t="inlineStr">
        <is>
          <t>Sim</t>
        </is>
      </c>
      <c r="L59" s="2" t="inlineStr">
        <is>
          <t>Título impresso, sem nome nem assinatura</t>
        </is>
      </c>
      <c r="M59" s="2" t="inlineStr">
        <is>
          <t>SIM</t>
        </is>
      </c>
      <c r="N59" s="2" t="n"/>
      <c r="O59" s="2" t="inlineStr">
        <is>
          <t>Fechamento da urna sem nomes nem assinaturas</t>
        </is>
      </c>
      <c r="P59" t="inlineStr">
        <is>
          <t>Sem resposta</t>
        </is>
      </c>
      <c r="Q59" t="inlineStr">
        <is>
          <t>—</t>
        </is>
      </c>
    </row>
    <row r="60">
      <c r="A60" s="10" t="n">
        <v>3245</v>
      </c>
      <c r="B60" s="2" t="inlineStr">
        <is>
          <t>2º Mesário</t>
        </is>
      </c>
      <c r="C60" s="14" t="inlineStr">
        <is>
          <t>sem contato</t>
        </is>
      </c>
      <c r="D60" s="2" t="inlineStr">
        <is>
          <t>TALITA DE ARAUJO CARVALHO</t>
        </is>
      </c>
      <c r="E60" s="2" t="inlineStr">
        <is>
          <t>0006/2026</t>
        </is>
      </c>
      <c r="F60" s="12">
        <f>A60&amp;"|"&amp;B60</f>
        <v/>
      </c>
      <c r="G60" s="13" t="inlineStr">
        <is>
          <t>063075331040</t>
        </is>
      </c>
      <c r="H60" s="2" t="inlineStr">
        <is>
          <t>Nomeado</t>
        </is>
      </c>
      <c r="I60" s="2" t="inlineStr">
        <is>
          <t>Confirmado</t>
        </is>
      </c>
      <c r="J60" s="2" t="inlineStr">
        <is>
          <t>0006/2026</t>
        </is>
      </c>
      <c r="K60" s="2" t="inlineStr">
        <is>
          <t>Sim</t>
        </is>
      </c>
      <c r="L60" s="2" t="inlineStr">
        <is>
          <t>Título impresso, sem nome nem assinatura</t>
        </is>
      </c>
      <c r="M60" s="2" t="inlineStr">
        <is>
          <t>SIM</t>
        </is>
      </c>
      <c r="N60" s="2" t="n"/>
      <c r="O60" s="2" t="inlineStr">
        <is>
          <t>Fechamento da urna sem nomes nem assinaturas</t>
        </is>
      </c>
      <c r="P60" t="inlineStr">
        <is>
          <t>Sem resposta</t>
        </is>
      </c>
      <c r="Q60" t="inlineStr">
        <is>
          <t>—</t>
        </is>
      </c>
    </row>
    <row r="61">
      <c r="A61" s="10" t="n">
        <v>3245</v>
      </c>
      <c r="B61" s="2" t="inlineStr">
        <is>
          <t>1º Secretário</t>
        </is>
      </c>
      <c r="C61" s="14" t="inlineStr">
        <is>
          <t xml:space="preserve"> voliveira@gmail.com</t>
        </is>
      </c>
      <c r="D61" s="2" t="inlineStr">
        <is>
          <t>VINICIUS ARAUJO DE OLIVEIRA</t>
        </is>
      </c>
      <c r="E61" s="2" t="inlineStr">
        <is>
          <t>-</t>
        </is>
      </c>
      <c r="F61" s="12">
        <f>A61&amp;"|"&amp;B61</f>
        <v/>
      </c>
      <c r="G61" s="13" t="inlineStr">
        <is>
          <t>114194690361</t>
        </is>
      </c>
      <c r="H61" s="2" t="inlineStr">
        <is>
          <t>Convocado</t>
        </is>
      </c>
      <c r="I61" s="2" t="inlineStr">
        <is>
          <t>Sem resposta</t>
        </is>
      </c>
      <c r="J61" s="2" t="inlineStr">
        <is>
          <t>-</t>
        </is>
      </c>
      <c r="K61" s="2" t="inlineStr">
        <is>
          <t>Não</t>
        </is>
      </c>
      <c r="L61" s="2" t="inlineStr">
        <is>
          <t>Não consta</t>
        </is>
      </c>
      <c r="M61" s="2" t="inlineStr">
        <is>
          <t>NAO</t>
        </is>
      </c>
      <c r="N61" s="2" t="n"/>
      <c r="O61" s="2" t="n"/>
      <c r="P61" t="inlineStr">
        <is>
          <t>Sem resposta</t>
        </is>
      </c>
      <c r="Q61" t="inlineStr">
        <is>
          <t>—</t>
        </is>
      </c>
    </row>
    <row r="62">
      <c r="A62" s="10" t="n">
        <v>3302</v>
      </c>
      <c r="B62" s="2" t="inlineStr">
        <is>
          <t>Presidente</t>
        </is>
      </c>
      <c r="C62" s="11" t="inlineStr">
        <is>
          <t>malumorgante@gmail.com</t>
        </is>
      </c>
      <c r="D62" s="2" t="inlineStr">
        <is>
          <t>MARIA LUCIA MORGANTE DE MIRANDA</t>
        </is>
      </c>
      <c r="E62" s="2" t="inlineStr">
        <is>
          <t>SIM</t>
        </is>
      </c>
      <c r="F62" s="12">
        <f>A62&amp;"|"&amp;B62</f>
        <v/>
      </c>
      <c r="G62" s="13" t="inlineStr">
        <is>
          <t>307974360175</t>
        </is>
      </c>
      <c r="H62" s="2" t="inlineStr">
        <is>
          <t>Nomeado</t>
        </is>
      </c>
      <c r="I62" s="2" t="inlineStr">
        <is>
          <t>Confirmado</t>
        </is>
      </c>
      <c r="J62" s="2" t="inlineStr">
        <is>
          <t>0006/2026</t>
        </is>
      </c>
      <c r="K62" s="2" t="inlineStr">
        <is>
          <t>Sim</t>
        </is>
      </c>
      <c r="L62" s="2" t="inlineStr">
        <is>
          <t>Assinou</t>
        </is>
      </c>
      <c r="M62" s="2" t="inlineStr">
        <is>
          <t>SIM</t>
        </is>
      </c>
      <c r="N62" s="2" t="inlineStr">
        <is>
          <t>OK</t>
        </is>
      </c>
      <c r="O62" s="2" t="n"/>
      <c r="P62" t="inlineStr">
        <is>
          <t>Confirmado</t>
        </is>
      </c>
      <c r="Q62" t="inlineStr">
        <is>
          <t>7</t>
        </is>
      </c>
    </row>
    <row r="63">
      <c r="A63" s="10" t="n">
        <v>3302</v>
      </c>
      <c r="B63" s="2" t="inlineStr">
        <is>
          <t>1º Mesário</t>
        </is>
      </c>
      <c r="C63" s="11" t="inlineStr">
        <is>
          <t>s.caetanoregina1979@gmail.com</t>
        </is>
      </c>
      <c r="D63" s="2" t="inlineStr">
        <is>
          <t>SANDRA REGINA CAETANO DE SOUZA</t>
        </is>
      </c>
      <c r="E63" s="2" t="inlineStr">
        <is>
          <t>SIM</t>
        </is>
      </c>
      <c r="F63" s="12">
        <f>A63&amp;"|"&amp;B63</f>
        <v/>
      </c>
      <c r="G63" s="13" t="inlineStr">
        <is>
          <t>276925060183</t>
        </is>
      </c>
      <c r="H63" s="2" t="inlineStr">
        <is>
          <t>Nomeado</t>
        </is>
      </c>
      <c r="I63" s="2" t="inlineStr">
        <is>
          <t>Confirmado</t>
        </is>
      </c>
      <c r="J63" s="2" t="inlineStr">
        <is>
          <t>0006/2026</t>
        </is>
      </c>
      <c r="K63" s="2" t="inlineStr">
        <is>
          <t>Sim</t>
        </is>
      </c>
      <c r="L63" s="2" t="inlineStr">
        <is>
          <t>Assinou</t>
        </is>
      </c>
      <c r="M63" s="2" t="inlineStr">
        <is>
          <t>SIM</t>
        </is>
      </c>
      <c r="N63" s="2" t="inlineStr">
        <is>
          <t>OK</t>
        </is>
      </c>
      <c r="O63" s="2" t="n"/>
      <c r="P63" t="inlineStr">
        <is>
          <t>Sem resposta</t>
        </is>
      </c>
      <c r="Q63" t="inlineStr">
        <is>
          <t>—</t>
        </is>
      </c>
    </row>
    <row r="64">
      <c r="A64" s="10" t="n">
        <v>3302</v>
      </c>
      <c r="B64" s="2" t="inlineStr">
        <is>
          <t>2º Mesário</t>
        </is>
      </c>
      <c r="C64" s="11" t="inlineStr">
        <is>
          <t>renan.williandc@gmail.com</t>
        </is>
      </c>
      <c r="D64" s="2" t="inlineStr">
        <is>
          <t>RENAN WILLIAN DA COSTA</t>
        </is>
      </c>
      <c r="E64" s="2" t="inlineStr">
        <is>
          <t>SIM</t>
        </is>
      </c>
      <c r="F64" s="12">
        <f>A64&amp;"|"&amp;B64</f>
        <v/>
      </c>
      <c r="G64" s="13" t="inlineStr">
        <is>
          <t>413779220108</t>
        </is>
      </c>
      <c r="H64" s="2" t="inlineStr">
        <is>
          <t>Nomeado</t>
        </is>
      </c>
      <c r="I64" s="2" t="inlineStr">
        <is>
          <t>Confirmado</t>
        </is>
      </c>
      <c r="J64" s="2" t="inlineStr">
        <is>
          <t>0006/2026</t>
        </is>
      </c>
      <c r="K64" s="2" t="inlineStr">
        <is>
          <t>Sim</t>
        </is>
      </c>
      <c r="L64" s="2" t="inlineStr">
        <is>
          <t>Assinou</t>
        </is>
      </c>
      <c r="M64" s="2" t="inlineStr">
        <is>
          <t>SIM</t>
        </is>
      </c>
      <c r="N64" s="2" t="inlineStr">
        <is>
          <t>OK</t>
        </is>
      </c>
      <c r="O64" s="2" t="n"/>
      <c r="P64" t="inlineStr">
        <is>
          <t>Confirmado</t>
        </is>
      </c>
      <c r="Q64" t="inlineStr">
        <is>
          <t>4</t>
        </is>
      </c>
    </row>
    <row r="65">
      <c r="A65" s="10" t="n">
        <v>3302</v>
      </c>
      <c r="B65" s="2" t="inlineStr">
        <is>
          <t>1º Secretário</t>
        </is>
      </c>
      <c r="C65" s="11" t="inlineStr">
        <is>
          <t>Tiagocare@icloud.com</t>
        </is>
      </c>
      <c r="D65" s="2" t="inlineStr">
        <is>
          <t>TIAGO PAIVA DE CARVALHO</t>
        </is>
      </c>
      <c r="E65" s="2" t="inlineStr">
        <is>
          <t>SIM</t>
        </is>
      </c>
      <c r="F65" s="12">
        <f>A65&amp;"|"&amp;B65</f>
        <v/>
      </c>
      <c r="G65" s="13" t="inlineStr">
        <is>
          <t>290684490183</t>
        </is>
      </c>
      <c r="H65" s="2" t="inlineStr">
        <is>
          <t>Nomeado</t>
        </is>
      </c>
      <c r="I65" s="2" t="inlineStr">
        <is>
          <t>Confirmado</t>
        </is>
      </c>
      <c r="J65" s="2" t="inlineStr">
        <is>
          <t>0006/2026</t>
        </is>
      </c>
      <c r="K65" s="2" t="inlineStr">
        <is>
          <t>Sim</t>
        </is>
      </c>
      <c r="L65" s="2" t="inlineStr">
        <is>
          <t>Assinou</t>
        </is>
      </c>
      <c r="M65" s="2" t="inlineStr">
        <is>
          <t>SIM</t>
        </is>
      </c>
      <c r="N65" s="2" t="inlineStr">
        <is>
          <t>OK</t>
        </is>
      </c>
      <c r="O65" s="2" t="n"/>
      <c r="P65" t="inlineStr">
        <is>
          <t>Sem resposta</t>
        </is>
      </c>
      <c r="Q65" t="inlineStr">
        <is>
          <t>—</t>
        </is>
      </c>
    </row>
    <row r="66">
      <c r="A66" s="10" t="n">
        <v>3305</v>
      </c>
      <c r="B66" s="2" t="inlineStr">
        <is>
          <t>Presidente</t>
        </is>
      </c>
      <c r="C66" s="14" t="inlineStr">
        <is>
          <t>sem contato</t>
        </is>
      </c>
      <c r="D66" s="2" t="inlineStr">
        <is>
          <t>SARA RODRIGUES GOMES</t>
        </is>
      </c>
      <c r="E66" s="2" t="inlineStr">
        <is>
          <t>0006/2026</t>
        </is>
      </c>
      <c r="F66" s="12">
        <f>A66&amp;"|"&amp;B66</f>
        <v/>
      </c>
      <c r="G66" s="13" t="inlineStr">
        <is>
          <t>106376760442</t>
        </is>
      </c>
      <c r="H66" s="2" t="inlineStr">
        <is>
          <t>Nomeado</t>
        </is>
      </c>
      <c r="I66" s="2" t="inlineStr">
        <is>
          <t>Confirmado</t>
        </is>
      </c>
      <c r="J66" s="2" t="inlineStr">
        <is>
          <t>0006/2026</t>
        </is>
      </c>
      <c r="K66" s="2" t="inlineStr">
        <is>
          <t>Não</t>
        </is>
      </c>
      <c r="L66" s="2" t="inlineStr">
        <is>
          <t>Não consta</t>
        </is>
      </c>
      <c r="M66" s="2" t="inlineStr">
        <is>
          <t>NAO</t>
        </is>
      </c>
      <c r="N66" s="2" t="n"/>
      <c r="O66" s="2" t="inlineStr">
        <is>
          <t>Elo: Confirmado em 30/09, mas não consta em nenhum boletim</t>
        </is>
      </c>
      <c r="P66" t="inlineStr">
        <is>
          <t>Sem resposta</t>
        </is>
      </c>
      <c r="Q66" t="inlineStr">
        <is>
          <t>—</t>
        </is>
      </c>
    </row>
    <row r="67">
      <c r="A67" s="10" t="n">
        <v>3305</v>
      </c>
      <c r="B67" s="2" t="inlineStr">
        <is>
          <t>1º Mesário</t>
        </is>
      </c>
      <c r="C67" s="11" t="inlineStr">
        <is>
          <t xml:space="preserve">353helenafranmalves@gmail.com </t>
        </is>
      </c>
      <c r="D67" s="2" t="inlineStr">
        <is>
          <t>MARIA HELENA DE FRANÇA MELLO ALVES</t>
        </is>
      </c>
      <c r="E67" s="2" t="inlineStr">
        <is>
          <t>0006/2026</t>
        </is>
      </c>
      <c r="F67" s="12">
        <f>A67&amp;"|"&amp;B67</f>
        <v/>
      </c>
      <c r="G67" s="13" t="inlineStr">
        <is>
          <t>145516460361</t>
        </is>
      </c>
      <c r="H67" s="2" t="inlineStr">
        <is>
          <t>Nomeado</t>
        </is>
      </c>
      <c r="I67" s="2" t="inlineStr">
        <is>
          <t>Confirmado</t>
        </is>
      </c>
      <c r="J67" s="2" t="inlineStr">
        <is>
          <t>0006/2026</t>
        </is>
      </c>
      <c r="K67" s="2" t="inlineStr">
        <is>
          <t>Sim</t>
        </is>
      </c>
      <c r="L67" s="2" t="inlineStr">
        <is>
          <t>Assinou</t>
        </is>
      </c>
      <c r="M67" s="2" t="inlineStr">
        <is>
          <t>SIM</t>
        </is>
      </c>
      <c r="N67" s="2" t="n"/>
      <c r="O67" s="2" t="n"/>
      <c r="P67" t="inlineStr">
        <is>
          <t>Sem resposta</t>
        </is>
      </c>
      <c r="Q67" t="inlineStr">
        <is>
          <t>—</t>
        </is>
      </c>
    </row>
    <row r="68">
      <c r="A68" s="10" t="n">
        <v>3305</v>
      </c>
      <c r="B68" s="2" t="inlineStr">
        <is>
          <t>2º Mesário</t>
        </is>
      </c>
      <c r="C68" s="11" t="inlineStr">
        <is>
          <t>ftrindade3411@gmail.com</t>
        </is>
      </c>
      <c r="D68" s="2" t="inlineStr">
        <is>
          <t>FÁBIO MARCELO DA TRINDADE</t>
        </is>
      </c>
      <c r="E68" s="2" t="inlineStr">
        <is>
          <t>0006/2026</t>
        </is>
      </c>
      <c r="F68" s="12">
        <f>A68&amp;"|"&amp;B68</f>
        <v/>
      </c>
      <c r="G68" s="13" t="inlineStr">
        <is>
          <t>246647720183</t>
        </is>
      </c>
      <c r="H68" s="2" t="inlineStr">
        <is>
          <t>Nomeado</t>
        </is>
      </c>
      <c r="I68" s="2" t="inlineStr">
        <is>
          <t>Confirmado</t>
        </is>
      </c>
      <c r="J68" s="2" t="inlineStr">
        <is>
          <t>0006/2026</t>
        </is>
      </c>
      <c r="K68" s="2" t="inlineStr">
        <is>
          <t>Sim</t>
        </is>
      </c>
      <c r="L68" s="2" t="inlineStr">
        <is>
          <t>Assinou</t>
        </is>
      </c>
      <c r="M68" s="2" t="inlineStr">
        <is>
          <t>SIM</t>
        </is>
      </c>
      <c r="N68" s="2" t="n"/>
      <c r="O68" s="2" t="n"/>
      <c r="P68" t="inlineStr">
        <is>
          <t>Confirmado</t>
        </is>
      </c>
      <c r="Q68" t="inlineStr">
        <is>
          <t>10</t>
        </is>
      </c>
    </row>
    <row r="69">
      <c r="A69" s="10" t="n">
        <v>3305</v>
      </c>
      <c r="B69" s="2" t="inlineStr">
        <is>
          <t>1º Secretário</t>
        </is>
      </c>
      <c r="C69" s="11" t="inlineStr">
        <is>
          <t>fagneralmeidamorais@gmail.com</t>
        </is>
      </c>
      <c r="D69" s="2" t="inlineStr">
        <is>
          <t>FAGNER DE PAULA ALMEIDA MORAIS</t>
        </is>
      </c>
      <c r="E69" s="2" t="inlineStr">
        <is>
          <t>0006/2026</t>
        </is>
      </c>
      <c r="F69" s="12">
        <f>A69&amp;"|"&amp;B69</f>
        <v/>
      </c>
      <c r="G69" s="13" t="inlineStr">
        <is>
          <t>196190310221</t>
        </is>
      </c>
      <c r="H69" s="2" t="inlineStr">
        <is>
          <t>Nomeado</t>
        </is>
      </c>
      <c r="I69" s="2" t="inlineStr">
        <is>
          <t>Confirmado</t>
        </is>
      </c>
      <c r="J69" s="2" t="inlineStr">
        <is>
          <t>0006/2026</t>
        </is>
      </c>
      <c r="K69" s="2" t="inlineStr">
        <is>
          <t>Sim</t>
        </is>
      </c>
      <c r="L69" s="2" t="inlineStr">
        <is>
          <t>Assinou</t>
        </is>
      </c>
      <c r="M69" s="2" t="inlineStr">
        <is>
          <t>SIM</t>
        </is>
      </c>
      <c r="N69" s="2" t="n"/>
      <c r="O69" s="2" t="n"/>
      <c r="P69" t="inlineStr">
        <is>
          <t>Sem resposta</t>
        </is>
      </c>
      <c r="Q69" t="inlineStr">
        <is>
          <t>—</t>
        </is>
      </c>
    </row>
    <row r="70">
      <c r="A70" s="10" t="n">
        <v>3306</v>
      </c>
      <c r="B70" s="2" t="inlineStr">
        <is>
          <t>Presidente</t>
        </is>
      </c>
      <c r="C70" s="11" t="inlineStr">
        <is>
          <t>julianawongm@gmail.com</t>
        </is>
      </c>
      <c r="D70" s="2" t="inlineStr">
        <is>
          <t>JULIANA WONG MENDONÇA</t>
        </is>
      </c>
      <c r="E70" s="2" t="inlineStr">
        <is>
          <t>SIM</t>
        </is>
      </c>
      <c r="F70" s="12">
        <f>A70&amp;"|"&amp;B70</f>
        <v/>
      </c>
      <c r="G70" s="13" t="inlineStr">
        <is>
          <t>174315930370</t>
        </is>
      </c>
      <c r="H70" s="2" t="inlineStr">
        <is>
          <t>Nomeado</t>
        </is>
      </c>
      <c r="I70" s="2" t="inlineStr">
        <is>
          <t>Confirmado</t>
        </is>
      </c>
      <c r="J70" s="2" t="inlineStr">
        <is>
          <t>0006/2026</t>
        </is>
      </c>
      <c r="K70" s="2" t="inlineStr">
        <is>
          <t>Sim</t>
        </is>
      </c>
      <c r="L70" s="2" t="inlineStr">
        <is>
          <t>Assinou</t>
        </is>
      </c>
      <c r="M70" s="2" t="inlineStr">
        <is>
          <t>SIM</t>
        </is>
      </c>
      <c r="N70" s="2" t="inlineStr">
        <is>
          <t>OK</t>
        </is>
      </c>
      <c r="O70" s="2" t="n"/>
      <c r="P70" t="inlineStr">
        <is>
          <t>Sem resposta</t>
        </is>
      </c>
      <c r="Q70" t="inlineStr">
        <is>
          <t>—</t>
        </is>
      </c>
    </row>
    <row r="71">
      <c r="A71" s="10" t="n">
        <v>3306</v>
      </c>
      <c r="B71" s="2" t="inlineStr">
        <is>
          <t>1º Mesário</t>
        </is>
      </c>
      <c r="C71" s="11" t="inlineStr">
        <is>
          <t xml:space="preserve">luisamontecarmelo@gmail.com </t>
        </is>
      </c>
      <c r="D71" s="2" t="inlineStr">
        <is>
          <t>LUISA OLIVEIRA DO MONTE CARMELO</t>
        </is>
      </c>
      <c r="E71" s="2" t="inlineStr">
        <is>
          <t>SIM</t>
        </is>
      </c>
      <c r="F71" s="12">
        <f>A71&amp;"|"&amp;B71</f>
        <v/>
      </c>
      <c r="G71" s="13" t="inlineStr">
        <is>
          <t>463410120124</t>
        </is>
      </c>
      <c r="H71" s="2" t="inlineStr">
        <is>
          <t>Nomeado</t>
        </is>
      </c>
      <c r="I71" s="2" t="inlineStr">
        <is>
          <t>Confirmado</t>
        </is>
      </c>
      <c r="J71" s="2" t="inlineStr">
        <is>
          <t>0006/2026</t>
        </is>
      </c>
      <c r="K71" s="2" t="inlineStr">
        <is>
          <t>Sim</t>
        </is>
      </c>
      <c r="L71" s="2" t="inlineStr">
        <is>
          <t>Assinou</t>
        </is>
      </c>
      <c r="M71" s="2" t="inlineStr">
        <is>
          <t>SIM</t>
        </is>
      </c>
      <c r="N71" s="2" t="inlineStr">
        <is>
          <t>OK</t>
        </is>
      </c>
      <c r="O71" s="2" t="n"/>
      <c r="P71" t="inlineStr">
        <is>
          <t>Sem resposta</t>
        </is>
      </c>
      <c r="Q71" t="inlineStr">
        <is>
          <t>—</t>
        </is>
      </c>
    </row>
    <row r="72">
      <c r="A72" s="10" t="n">
        <v>3306</v>
      </c>
      <c r="B72" s="2" t="inlineStr">
        <is>
          <t>2º Mesário</t>
        </is>
      </c>
      <c r="C72" s="11" t="inlineStr">
        <is>
          <t>maiik5463@hotmail.com</t>
        </is>
      </c>
      <c r="D72" s="2" t="inlineStr">
        <is>
          <t>MICHAEL DA COSTA MUNIZ</t>
        </is>
      </c>
      <c r="E72" s="2" t="inlineStr">
        <is>
          <t>SIM</t>
        </is>
      </c>
      <c r="F72" s="12">
        <f>A72&amp;"|"&amp;B72</f>
        <v/>
      </c>
      <c r="G72" s="13" t="inlineStr">
        <is>
          <t>407918980116</t>
        </is>
      </c>
      <c r="H72" s="2" t="inlineStr">
        <is>
          <t>Nomeado</t>
        </is>
      </c>
      <c r="I72" s="2" t="inlineStr">
        <is>
          <t>Confirmado</t>
        </is>
      </c>
      <c r="J72" s="2" t="inlineStr">
        <is>
          <t>0006/2026</t>
        </is>
      </c>
      <c r="K72" s="2" t="inlineStr">
        <is>
          <t>Sim</t>
        </is>
      </c>
      <c r="L72" s="2" t="inlineStr">
        <is>
          <t>Assinou</t>
        </is>
      </c>
      <c r="M72" s="2" t="inlineStr">
        <is>
          <t>SIM</t>
        </is>
      </c>
      <c r="N72" s="2" t="inlineStr">
        <is>
          <t>OK</t>
        </is>
      </c>
      <c r="O72" s="2" t="n"/>
      <c r="P72" t="inlineStr">
        <is>
          <t>Confirmado</t>
        </is>
      </c>
      <c r="Q72" t="inlineStr">
        <is>
          <t>3</t>
        </is>
      </c>
    </row>
    <row r="73">
      <c r="A73" s="10" t="n">
        <v>3306</v>
      </c>
      <c r="B73" s="2" t="inlineStr">
        <is>
          <t>1º Secretário</t>
        </is>
      </c>
      <c r="C73" s="11" t="inlineStr">
        <is>
          <t>matheuslw@gmail.com</t>
        </is>
      </c>
      <c r="D73" s="2" t="inlineStr">
        <is>
          <t>MATHEUS CARVALHO MENDONCA</t>
        </is>
      </c>
      <c r="E73" s="2" t="inlineStr">
        <is>
          <t>SIM</t>
        </is>
      </c>
      <c r="F73" s="12">
        <f>A73&amp;"|"&amp;B73</f>
        <v/>
      </c>
      <c r="G73" s="13" t="inlineStr">
        <is>
          <t>062299741031</t>
        </is>
      </c>
      <c r="H73" s="2" t="inlineStr">
        <is>
          <t>Nomeado</t>
        </is>
      </c>
      <c r="I73" s="2" t="inlineStr">
        <is>
          <t>Confirmado</t>
        </is>
      </c>
      <c r="J73" s="2" t="inlineStr">
        <is>
          <t>0006/2026</t>
        </is>
      </c>
      <c r="K73" s="2" t="inlineStr">
        <is>
          <t>Sim</t>
        </is>
      </c>
      <c r="L73" s="2" t="inlineStr">
        <is>
          <t>Assinou</t>
        </is>
      </c>
      <c r="M73" s="2" t="inlineStr">
        <is>
          <t>SIM</t>
        </is>
      </c>
      <c r="N73" s="2" t="inlineStr">
        <is>
          <t>OK</t>
        </is>
      </c>
      <c r="O73" s="2" t="n"/>
      <c r="P73" t="inlineStr">
        <is>
          <t>Confirmado</t>
        </is>
      </c>
      <c r="Q73" t="inlineStr">
        <is>
          <t>22</t>
        </is>
      </c>
    </row>
    <row r="74">
      <c r="A74" s="10" t="n">
        <v>3308</v>
      </c>
      <c r="B74" s="2" t="inlineStr">
        <is>
          <t>Presidente</t>
        </is>
      </c>
      <c r="C74" s="11" t="inlineStr">
        <is>
          <t>kaique.aquino.oliveira@esb.ie</t>
        </is>
      </c>
      <c r="D74" s="2" t="inlineStr">
        <is>
          <t>KAIQUE AQUINO OLIVEIRA</t>
        </is>
      </c>
      <c r="E74" s="2" t="inlineStr">
        <is>
          <t>SIM</t>
        </is>
      </c>
      <c r="F74" s="12">
        <f>A74&amp;"|"&amp;B74</f>
        <v/>
      </c>
      <c r="G74" s="13" t="inlineStr">
        <is>
          <t>405418010191</t>
        </is>
      </c>
      <c r="H74" s="2" t="inlineStr">
        <is>
          <t>Nomeado</t>
        </is>
      </c>
      <c r="I74" s="2" t="inlineStr">
        <is>
          <t>Confirmado</t>
        </is>
      </c>
      <c r="J74" s="2" t="inlineStr">
        <is>
          <t>0006/2026</t>
        </is>
      </c>
      <c r="K74" s="2" t="inlineStr">
        <is>
          <t>Não</t>
        </is>
      </c>
      <c r="L74" s="2" t="inlineStr">
        <is>
          <t>Não consta</t>
        </is>
      </c>
      <c r="M74" s="2" t="inlineStr">
        <is>
          <t>NAO</t>
        </is>
      </c>
      <c r="N74" s="2" t="n"/>
      <c r="O74" s="2" t="inlineStr">
        <is>
          <t>Elo: Confirmado em 30/09, mas não consta em nenhum boletim</t>
        </is>
      </c>
      <c r="P74" t="inlineStr">
        <is>
          <t>Sem resposta</t>
        </is>
      </c>
      <c r="Q74" t="inlineStr">
        <is>
          <t>—</t>
        </is>
      </c>
    </row>
    <row r="75">
      <c r="A75" s="10" t="n">
        <v>3308</v>
      </c>
      <c r="B75" s="2" t="inlineStr">
        <is>
          <t>1º Mesário</t>
        </is>
      </c>
      <c r="C75" s="11" t="inlineStr">
        <is>
          <t>krla.dublin16@gmail.com</t>
        </is>
      </c>
      <c r="D75" s="2" t="inlineStr">
        <is>
          <t>CARLA RIBEIRO DOS SANTOS SIMOES</t>
        </is>
      </c>
      <c r="E75" s="2" t="inlineStr">
        <is>
          <t>SIM</t>
        </is>
      </c>
      <c r="F75" s="12">
        <f>A75&amp;"|"&amp;B75</f>
        <v/>
      </c>
      <c r="G75" s="13" t="inlineStr">
        <is>
          <t>141082260272</t>
        </is>
      </c>
      <c r="H75" s="2" t="inlineStr">
        <is>
          <t>Nomeado</t>
        </is>
      </c>
      <c r="I75" s="2" t="inlineStr">
        <is>
          <t>Sem resposta</t>
        </is>
      </c>
      <c r="J75" s="2" t="inlineStr">
        <is>
          <t>0006/2026</t>
        </is>
      </c>
      <c r="K75" s="2" t="inlineStr">
        <is>
          <t>Sim</t>
        </is>
      </c>
      <c r="L75" s="2" t="inlineStr">
        <is>
          <t>Assinou</t>
        </is>
      </c>
      <c r="M75" s="2" t="inlineStr">
        <is>
          <t>SIM</t>
        </is>
      </c>
      <c r="N75" s="2" t="inlineStr">
        <is>
          <t>OK</t>
        </is>
      </c>
      <c r="O75" s="2" t="inlineStr">
        <is>
          <t>Elo: Sem resposta em 30/09, mas compareceu</t>
        </is>
      </c>
      <c r="P75" t="inlineStr">
        <is>
          <t>Confirmado</t>
        </is>
      </c>
      <c r="Q75" t="inlineStr">
        <is>
          <t>31</t>
        </is>
      </c>
    </row>
    <row r="76">
      <c r="A76" s="10" t="n">
        <v>3308</v>
      </c>
      <c r="B76" s="2" t="inlineStr">
        <is>
          <t>2º Mesário</t>
        </is>
      </c>
      <c r="C76" s="11" t="inlineStr">
        <is>
          <t>louiseandrielleprandi@gmail.com</t>
        </is>
      </c>
      <c r="D76" s="2" t="inlineStr">
        <is>
          <t>LOUISE ANDRIELLE PRANDI</t>
        </is>
      </c>
      <c r="E76" s="2" t="inlineStr">
        <is>
          <t>SIM</t>
        </is>
      </c>
      <c r="F76" s="12">
        <f>A76&amp;"|"&amp;B76</f>
        <v/>
      </c>
      <c r="G76" s="13" t="inlineStr">
        <is>
          <t>066669950922</t>
        </is>
      </c>
      <c r="H76" s="2" t="inlineStr">
        <is>
          <t>Nomeado</t>
        </is>
      </c>
      <c r="I76" s="2" t="inlineStr">
        <is>
          <t>Confirmado</t>
        </is>
      </c>
      <c r="J76" s="2" t="inlineStr">
        <is>
          <t>0006/2026</t>
        </is>
      </c>
      <c r="K76" s="2" t="inlineStr">
        <is>
          <t>Sim</t>
        </is>
      </c>
      <c r="L76" s="2" t="inlineStr">
        <is>
          <t>Assinou</t>
        </is>
      </c>
      <c r="M76" s="2" t="inlineStr">
        <is>
          <t>SIM</t>
        </is>
      </c>
      <c r="N76" s="2" t="inlineStr">
        <is>
          <t>OK</t>
        </is>
      </c>
      <c r="O76" s="2" t="n"/>
      <c r="P76" t="inlineStr">
        <is>
          <t>Sem resposta</t>
        </is>
      </c>
      <c r="Q76" t="inlineStr">
        <is>
          <t>—</t>
        </is>
      </c>
    </row>
    <row r="77">
      <c r="A77" s="10" t="n">
        <v>3308</v>
      </c>
      <c r="B77" s="2" t="inlineStr">
        <is>
          <t>1º Secretário</t>
        </is>
      </c>
      <c r="C77" s="11" t="inlineStr">
        <is>
          <t>paulalimao88@hotmail.com</t>
        </is>
      </c>
      <c r="D77" s="2" t="inlineStr">
        <is>
          <t>PAULA LIMÃO DE CAMPOS</t>
        </is>
      </c>
      <c r="E77" s="2" t="inlineStr">
        <is>
          <t>SIM</t>
        </is>
      </c>
      <c r="F77" s="12">
        <f>A77&amp;"|"&amp;B77</f>
        <v/>
      </c>
      <c r="G77" s="13" t="inlineStr">
        <is>
          <t>178391180221</t>
        </is>
      </c>
      <c r="H77" s="2" t="inlineStr">
        <is>
          <t>Nomeado</t>
        </is>
      </c>
      <c r="I77" s="2" t="inlineStr">
        <is>
          <t>Confirmado</t>
        </is>
      </c>
      <c r="J77" s="2" t="inlineStr">
        <is>
          <t>0006/2026</t>
        </is>
      </c>
      <c r="K77" s="2" t="inlineStr">
        <is>
          <t>Sim</t>
        </is>
      </c>
      <c r="L77" s="2" t="inlineStr">
        <is>
          <t>Assinou</t>
        </is>
      </c>
      <c r="M77" s="2" t="inlineStr">
        <is>
          <t>SIM</t>
        </is>
      </c>
      <c r="N77" s="2" t="inlineStr">
        <is>
          <t>OK</t>
        </is>
      </c>
      <c r="O77" s="2" t="n"/>
      <c r="P77" t="inlineStr">
        <is>
          <t>Confirmado</t>
        </is>
      </c>
      <c r="Q77" t="inlineStr">
        <is>
          <t>55</t>
        </is>
      </c>
    </row>
    <row r="78">
      <c r="A78" s="10" t="n">
        <v>3309</v>
      </c>
      <c r="B78" s="2" t="inlineStr">
        <is>
          <t>Presidente</t>
        </is>
      </c>
      <c r="C78" s="11" t="inlineStr">
        <is>
          <t>rogergoes@hotmail.com</t>
        </is>
      </c>
      <c r="D78" s="2" t="inlineStr">
        <is>
          <t>ROGERIO LINHARES GOES</t>
        </is>
      </c>
      <c r="E78" s="2" t="inlineStr">
        <is>
          <t>SIM</t>
        </is>
      </c>
      <c r="F78" s="12">
        <f>A78&amp;"|"&amp;B78</f>
        <v/>
      </c>
      <c r="G78" s="13" t="inlineStr">
        <is>
          <t>035793811031</t>
        </is>
      </c>
      <c r="H78" s="2" t="inlineStr">
        <is>
          <t>Nomeado</t>
        </is>
      </c>
      <c r="I78" s="2" t="inlineStr">
        <is>
          <t>Confirmado</t>
        </is>
      </c>
      <c r="J78" s="2" t="inlineStr">
        <is>
          <t>0006/2026</t>
        </is>
      </c>
      <c r="K78" s="2" t="inlineStr">
        <is>
          <t>Sim</t>
        </is>
      </c>
      <c r="L78" s="2" t="inlineStr">
        <is>
          <t>Assinou (fora da linha própria)</t>
        </is>
      </c>
      <c r="M78" s="2" t="inlineStr">
        <is>
          <t>SIM</t>
        </is>
      </c>
      <c r="N78" s="2" t="inlineStr">
        <is>
          <t>OK</t>
        </is>
      </c>
      <c r="O78" s="2" t="n"/>
      <c r="P78" t="inlineStr">
        <is>
          <t>Confirmado</t>
        </is>
      </c>
      <c r="Q78" t="inlineStr">
        <is>
          <t>6</t>
        </is>
      </c>
    </row>
    <row r="79">
      <c r="A79" s="10" t="n">
        <v>3309</v>
      </c>
      <c r="B79" s="2" t="inlineStr">
        <is>
          <t>1º Mesário</t>
        </is>
      </c>
      <c r="C79" s="11" t="inlineStr">
        <is>
          <t>paulacipro@gmail.com</t>
        </is>
      </c>
      <c r="D79" s="2" t="inlineStr">
        <is>
          <t>PAULA CIPRO CARVALHO CAMPOS</t>
        </is>
      </c>
      <c r="E79" s="2" t="inlineStr">
        <is>
          <t>SIM</t>
        </is>
      </c>
      <c r="F79" s="12">
        <f>A79&amp;"|"&amp;B79</f>
        <v/>
      </c>
      <c r="G79" s="13" t="inlineStr">
        <is>
          <t>356909870159</t>
        </is>
      </c>
      <c r="H79" s="2" t="inlineStr">
        <is>
          <t>Nomeado</t>
        </is>
      </c>
      <c r="I79" s="2" t="inlineStr">
        <is>
          <t>Confirmado</t>
        </is>
      </c>
      <c r="J79" s="2" t="inlineStr">
        <is>
          <t>0006/2026</t>
        </is>
      </c>
      <c r="K79" s="2" t="inlineStr">
        <is>
          <t>Sim</t>
        </is>
      </c>
      <c r="L79" s="2" t="inlineStr">
        <is>
          <t>Nome sem assinatura</t>
        </is>
      </c>
      <c r="M79" s="2" t="inlineStr">
        <is>
          <t>SIM</t>
        </is>
      </c>
      <c r="N79" s="2" t="inlineStr">
        <is>
          <t>OK</t>
        </is>
      </c>
      <c r="O79" s="2" t="n"/>
      <c r="P79" t="inlineStr">
        <is>
          <t>Não volta</t>
        </is>
      </c>
      <c r="Q79" t="inlineStr">
        <is>
          <t>38</t>
        </is>
      </c>
    </row>
    <row r="80">
      <c r="A80" s="10" t="n">
        <v>3309</v>
      </c>
      <c r="B80" s="2" t="inlineStr">
        <is>
          <t>2º Mesário</t>
        </is>
      </c>
      <c r="C80" s="11" t="inlineStr">
        <is>
          <t>luamdmoreira@gmail.com</t>
        </is>
      </c>
      <c r="D80" s="2" t="inlineStr">
        <is>
          <t>LUAM DUANE ANDRADE MOREIRA</t>
        </is>
      </c>
      <c r="E80" s="2" t="inlineStr">
        <is>
          <t>SIM</t>
        </is>
      </c>
      <c r="F80" s="12">
        <f>A80&amp;"|"&amp;B80</f>
        <v/>
      </c>
      <c r="G80" s="13" t="inlineStr">
        <is>
          <t>063704620957</t>
        </is>
      </c>
      <c r="H80" s="2" t="inlineStr">
        <is>
          <t>Nomeado</t>
        </is>
      </c>
      <c r="I80" s="2" t="inlineStr">
        <is>
          <t>Confirmado</t>
        </is>
      </c>
      <c r="J80" s="2" t="inlineStr">
        <is>
          <t>0006/2026</t>
        </is>
      </c>
      <c r="K80" s="2" t="inlineStr">
        <is>
          <t>Sim</t>
        </is>
      </c>
      <c r="L80" s="2" t="inlineStr">
        <is>
          <t>Assinou</t>
        </is>
      </c>
      <c r="M80" s="2" t="inlineStr">
        <is>
          <t>SIM</t>
        </is>
      </c>
      <c r="N80" s="2" t="inlineStr">
        <is>
          <t>OK</t>
        </is>
      </c>
      <c r="O80" s="2" t="n"/>
      <c r="P80" t="inlineStr">
        <is>
          <t>Confirmado</t>
        </is>
      </c>
      <c r="Q80" t="inlineStr">
        <is>
          <t>63</t>
        </is>
      </c>
    </row>
    <row r="81">
      <c r="A81" s="10" t="n">
        <v>3309</v>
      </c>
      <c r="B81" s="2" t="inlineStr">
        <is>
          <t>1º Secretário</t>
        </is>
      </c>
      <c r="C81" s="11" t="n"/>
      <c r="D81" s="2" t="inlineStr">
        <is>
          <t>SARA SOBRAL DIAS</t>
        </is>
      </c>
      <c r="E81" s="2" t="inlineStr">
        <is>
          <t>SIM</t>
        </is>
      </c>
      <c r="F81" s="12">
        <f>A81&amp;"|"&amp;B81</f>
        <v/>
      </c>
      <c r="G81" s="13" t="inlineStr">
        <is>
          <t>044827070850</t>
        </is>
      </c>
      <c r="H81" s="2" t="inlineStr">
        <is>
          <t>Nomeado</t>
        </is>
      </c>
      <c r="I81" s="2" t="inlineStr">
        <is>
          <t>Confirmado</t>
        </is>
      </c>
      <c r="J81" s="2" t="inlineStr">
        <is>
          <t>0006/2026</t>
        </is>
      </c>
      <c r="K81" s="2" t="inlineStr">
        <is>
          <t>Sim</t>
        </is>
      </c>
      <c r="L81" s="2" t="inlineStr">
        <is>
          <t>Nome sem assinatura</t>
        </is>
      </c>
      <c r="M81" s="2" t="inlineStr">
        <is>
          <t>SIM</t>
        </is>
      </c>
      <c r="N81" s="2" t="inlineStr">
        <is>
          <t>OK</t>
        </is>
      </c>
      <c r="O81" s="2" t="n"/>
      <c r="P81" t="inlineStr">
        <is>
          <t>Não volta</t>
        </is>
      </c>
      <c r="Q81" t="inlineStr">
        <is>
          <t>39</t>
        </is>
      </c>
    </row>
    <row r="82">
      <c r="A82" s="10" t="n">
        <v>3311</v>
      </c>
      <c r="B82" s="2" t="inlineStr">
        <is>
          <t>Presidente</t>
        </is>
      </c>
      <c r="C82" s="11" t="inlineStr">
        <is>
          <t>saradias1@gmail.com</t>
        </is>
      </c>
      <c r="D82" s="2" t="inlineStr">
        <is>
          <t>FLAVIA NASCIMENTO DE SOUZA</t>
        </is>
      </c>
      <c r="E82" s="2" t="inlineStr">
        <is>
          <t>-</t>
        </is>
      </c>
      <c r="F82" s="12">
        <f>A82&amp;"|"&amp;B82</f>
        <v/>
      </c>
      <c r="G82" s="13" t="inlineStr">
        <is>
          <t>341298950167</t>
        </is>
      </c>
      <c r="H82" s="2" t="inlineStr">
        <is>
          <t>Convocado</t>
        </is>
      </c>
      <c r="I82" s="2" t="inlineStr">
        <is>
          <t>Confirmado</t>
        </is>
      </c>
      <c r="J82" s="2" t="inlineStr">
        <is>
          <t>-</t>
        </is>
      </c>
      <c r="K82" s="2" t="inlineStr">
        <is>
          <t>Sim</t>
        </is>
      </c>
      <c r="L82" s="2" t="inlineStr">
        <is>
          <t>Assinou</t>
        </is>
      </c>
      <c r="M82" s="2" t="inlineStr">
        <is>
          <t>SIM</t>
        </is>
      </c>
      <c r="N82" s="2" t="n"/>
      <c r="O82" s="2" t="n"/>
      <c r="P82" t="inlineStr">
        <is>
          <t>Confirmado</t>
        </is>
      </c>
      <c r="Q82" t="inlineStr">
        <is>
          <t>8</t>
        </is>
      </c>
    </row>
    <row r="83">
      <c r="A83" s="10" t="n">
        <v>3311</v>
      </c>
      <c r="B83" s="2" t="inlineStr">
        <is>
          <t>1º Mesário</t>
        </is>
      </c>
      <c r="C83" s="14" t="inlineStr">
        <is>
          <t xml:space="preserve"> rodrigoerasmobarboza@gmail.com</t>
        </is>
      </c>
      <c r="D83" s="2" t="inlineStr">
        <is>
          <t>RODRIGO ERASMO BARBOZA</t>
        </is>
      </c>
      <c r="E83" s="2" t="inlineStr">
        <is>
          <t>-</t>
        </is>
      </c>
      <c r="F83" s="12">
        <f>A83&amp;"|"&amp;B83</f>
        <v/>
      </c>
      <c r="G83" s="13" t="inlineStr">
        <is>
          <t>034966040981</t>
        </is>
      </c>
      <c r="H83" s="2" t="inlineStr">
        <is>
          <t>Convocado</t>
        </is>
      </c>
      <c r="I83" s="2" t="inlineStr">
        <is>
          <t>Sem resposta</t>
        </is>
      </c>
      <c r="J83" s="2" t="inlineStr">
        <is>
          <t>-</t>
        </is>
      </c>
      <c r="K83" s="2" t="inlineStr">
        <is>
          <t>Sim</t>
        </is>
      </c>
      <c r="L83" s="2" t="inlineStr">
        <is>
          <t>Assinou</t>
        </is>
      </c>
      <c r="M83" s="2" t="inlineStr">
        <is>
          <t>SIM</t>
        </is>
      </c>
      <c r="N83" s="2" t="n"/>
      <c r="O83" s="2" t="inlineStr">
        <is>
          <t>Elo: Sem resposta em 30/09, mas compareceu</t>
        </is>
      </c>
      <c r="P83" t="inlineStr">
        <is>
          <t>Sem resposta</t>
        </is>
      </c>
      <c r="Q83" t="inlineStr">
        <is>
          <t>—</t>
        </is>
      </c>
    </row>
    <row r="84">
      <c r="A84" s="10" t="n">
        <v>3311</v>
      </c>
      <c r="B84" s="2" t="inlineStr">
        <is>
          <t>2º Mesário</t>
        </is>
      </c>
      <c r="C84" s="11" t="inlineStr">
        <is>
          <t>ednaldo283@gmail.com</t>
        </is>
      </c>
      <c r="D84" s="2" t="inlineStr">
        <is>
          <t>EDNALDO AZEVEDO DE NORONHA</t>
        </is>
      </c>
      <c r="E84" s="2" t="inlineStr">
        <is>
          <t>0006/2026</t>
        </is>
      </c>
      <c r="F84" s="12">
        <f>A84&amp;"|"&amp;B84</f>
        <v/>
      </c>
      <c r="G84" s="13" t="inlineStr">
        <is>
          <t>074016700892</t>
        </is>
      </c>
      <c r="H84" s="2" t="inlineStr">
        <is>
          <t>Nomeado</t>
        </is>
      </c>
      <c r="I84" s="2" t="inlineStr">
        <is>
          <t>Confirmado</t>
        </is>
      </c>
      <c r="J84" s="2" t="inlineStr">
        <is>
          <t>0006/2026</t>
        </is>
      </c>
      <c r="K84" s="2" t="inlineStr">
        <is>
          <t>Sim</t>
        </is>
      </c>
      <c r="L84" s="2" t="inlineStr">
        <is>
          <t>Assinou</t>
        </is>
      </c>
      <c r="M84" s="2" t="inlineStr">
        <is>
          <t>SIM</t>
        </is>
      </c>
      <c r="N84" s="2" t="n"/>
      <c r="O84" s="2" t="n"/>
      <c r="P84" t="inlineStr">
        <is>
          <t>Confirmado</t>
        </is>
      </c>
      <c r="Q84" t="inlineStr">
        <is>
          <t>37, 41</t>
        </is>
      </c>
      <c r="R84" t="inlineStr">
        <is>
          <t>Respondeu 2 vezes, mesma resposta</t>
        </is>
      </c>
    </row>
    <row r="85">
      <c r="A85" s="10" t="n">
        <v>3311</v>
      </c>
      <c r="B85" s="2" t="inlineStr">
        <is>
          <t>1º Secretário</t>
        </is>
      </c>
      <c r="C85" s="11" t="inlineStr">
        <is>
          <t>thaisterencio@hotmail.com</t>
        </is>
      </c>
      <c r="D85" s="2" t="inlineStr">
        <is>
          <t>THAÍS TERÊNCIO PEREIRA</t>
        </is>
      </c>
      <c r="E85" s="2" t="inlineStr">
        <is>
          <t>0006/2026</t>
        </is>
      </c>
      <c r="F85" s="12">
        <f>A85&amp;"|"&amp;B85</f>
        <v/>
      </c>
      <c r="G85" s="13" t="inlineStr">
        <is>
          <t>353846650116</t>
        </is>
      </c>
      <c r="H85" s="2" t="inlineStr">
        <is>
          <t>Nomeado</t>
        </is>
      </c>
      <c r="I85" s="2" t="inlineStr">
        <is>
          <t>Confirmado</t>
        </is>
      </c>
      <c r="J85" s="2" t="inlineStr">
        <is>
          <t>0006/2026</t>
        </is>
      </c>
      <c r="K85" s="2" t="inlineStr">
        <is>
          <t>Sim</t>
        </is>
      </c>
      <c r="L85" s="2" t="inlineStr">
        <is>
          <t>Assinou</t>
        </is>
      </c>
      <c r="M85" s="2" t="inlineStr">
        <is>
          <t>SIM</t>
        </is>
      </c>
      <c r="N85" s="2" t="n"/>
      <c r="O85" s="2" t="n"/>
      <c r="P85" t="inlineStr">
        <is>
          <t>Confirmado</t>
        </is>
      </c>
      <c r="Q85" t="inlineStr">
        <is>
          <t>58</t>
        </is>
      </c>
    </row>
    <row r="86">
      <c r="A86" s="10" t="n">
        <v>3313</v>
      </c>
      <c r="B86" s="2" t="inlineStr">
        <is>
          <t>Presidente</t>
        </is>
      </c>
      <c r="C86" s="11" t="inlineStr">
        <is>
          <t>vanessa.barbosa@itamaraty.gov.br</t>
        </is>
      </c>
      <c r="D86" s="2" t="inlineStr">
        <is>
          <t>VANESSA ROCHA BARBOSA BARBALHO</t>
        </is>
      </c>
      <c r="E86" s="2" t="inlineStr">
        <is>
          <t>SIM</t>
        </is>
      </c>
      <c r="F86" s="12">
        <f>A86&amp;"|"&amp;B86</f>
        <v/>
      </c>
      <c r="G86" s="13" t="inlineStr">
        <is>
          <t>012505712046</t>
        </is>
      </c>
      <c r="H86" s="2" t="inlineStr">
        <is>
          <t>Nomeado</t>
        </is>
      </c>
      <c r="I86" s="2" t="inlineStr">
        <is>
          <t>Confirmado</t>
        </is>
      </c>
      <c r="J86" s="2" t="inlineStr">
        <is>
          <t>0006/2026</t>
        </is>
      </c>
      <c r="K86" s="2" t="inlineStr">
        <is>
          <t>Sim</t>
        </is>
      </c>
      <c r="L86" s="2" t="inlineStr">
        <is>
          <t>Não consta</t>
        </is>
      </c>
      <c r="M86" s="2" t="inlineStr">
        <is>
          <t>SIM</t>
        </is>
      </c>
      <c r="N86" s="2" t="inlineStr">
        <is>
          <t>OK</t>
        </is>
      </c>
      <c r="O86" s="2" t="n"/>
      <c r="P86" t="inlineStr">
        <is>
          <t>Sem resposta</t>
        </is>
      </c>
      <c r="Q86" t="inlineStr">
        <is>
          <t>—</t>
        </is>
      </c>
    </row>
    <row r="87">
      <c r="A87" s="10" t="n">
        <v>3313</v>
      </c>
      <c r="B87" s="2" t="inlineStr">
        <is>
          <t>1º Mesário</t>
        </is>
      </c>
      <c r="C87" s="11" t="inlineStr">
        <is>
          <t>leilarosaria@yahoo.com.br</t>
        </is>
      </c>
      <c r="D87" s="2" t="inlineStr">
        <is>
          <t>LEILA ROSARIA LIOTTA</t>
        </is>
      </c>
      <c r="E87" s="2" t="inlineStr">
        <is>
          <t>SIM</t>
        </is>
      </c>
      <c r="F87" s="12">
        <f>A87&amp;"|"&amp;B87</f>
        <v/>
      </c>
      <c r="G87" s="13" t="inlineStr">
        <is>
          <t>289755370191</t>
        </is>
      </c>
      <c r="H87" s="2" t="inlineStr">
        <is>
          <t>Nomeado</t>
        </is>
      </c>
      <c r="I87" s="2" t="inlineStr">
        <is>
          <t>Confirmado</t>
        </is>
      </c>
      <c r="J87" s="2" t="inlineStr">
        <is>
          <t>0006/2026</t>
        </is>
      </c>
      <c r="K87" s="2" t="inlineStr">
        <is>
          <t>Sim</t>
        </is>
      </c>
      <c r="L87" s="2" t="inlineStr">
        <is>
          <t>Assinou</t>
        </is>
      </c>
      <c r="M87" s="2" t="inlineStr">
        <is>
          <t>SIM</t>
        </is>
      </c>
      <c r="N87" s="2" t="inlineStr">
        <is>
          <t>OK</t>
        </is>
      </c>
      <c r="O87" s="2" t="n"/>
      <c r="P87" t="inlineStr">
        <is>
          <t>Confirmado</t>
        </is>
      </c>
      <c r="Q87" t="inlineStr">
        <is>
          <t>50</t>
        </is>
      </c>
    </row>
    <row r="88">
      <c r="A88" s="10" t="n">
        <v>3313</v>
      </c>
      <c r="B88" s="2" t="inlineStr">
        <is>
          <t>2º Mesário</t>
        </is>
      </c>
      <c r="C88" s="11" t="inlineStr">
        <is>
          <t xml:space="preserve">danielpessoa.cardeal@gmail.com </t>
        </is>
      </c>
      <c r="D88" s="2" t="inlineStr">
        <is>
          <t>DANIEL PESSOA CARDEAL</t>
        </is>
      </c>
      <c r="E88" s="2" t="inlineStr">
        <is>
          <t>SIM</t>
        </is>
      </c>
      <c r="F88" s="12">
        <f>A88&amp;"|"&amp;B88</f>
        <v/>
      </c>
      <c r="G88" s="13" t="inlineStr">
        <is>
          <t>438851640116</t>
        </is>
      </c>
      <c r="H88" s="2" t="inlineStr">
        <is>
          <t>Nomeado</t>
        </is>
      </c>
      <c r="I88" s="2" t="inlineStr">
        <is>
          <t>Confirmado</t>
        </is>
      </c>
      <c r="J88" s="2" t="inlineStr">
        <is>
          <t>0006/2026</t>
        </is>
      </c>
      <c r="K88" s="2" t="inlineStr">
        <is>
          <t>Sim</t>
        </is>
      </c>
      <c r="L88" s="2" t="inlineStr">
        <is>
          <t>Assinou</t>
        </is>
      </c>
      <c r="M88" s="2" t="inlineStr">
        <is>
          <t>SIM</t>
        </is>
      </c>
      <c r="N88" s="2" t="inlineStr">
        <is>
          <t>OK</t>
        </is>
      </c>
      <c r="O88" s="2" t="n"/>
      <c r="P88" t="inlineStr">
        <is>
          <t>Não volta</t>
        </is>
      </c>
      <c r="Q88" t="inlineStr">
        <is>
          <t>72</t>
        </is>
      </c>
    </row>
    <row r="89">
      <c r="A89" s="10" t="n">
        <v>3313</v>
      </c>
      <c r="B89" s="2" t="inlineStr">
        <is>
          <t>1º Secretário</t>
        </is>
      </c>
      <c r="C89" s="11" t="inlineStr">
        <is>
          <t>sandro.cunha2008@gmail.com</t>
        </is>
      </c>
      <c r="D89" s="2" t="inlineStr">
        <is>
          <t>SANDRO CUNHA DA SILVA</t>
        </is>
      </c>
      <c r="E89" s="2" t="inlineStr">
        <is>
          <t>SIM</t>
        </is>
      </c>
      <c r="F89" s="12">
        <f>A89&amp;"|"&amp;B89</f>
        <v/>
      </c>
      <c r="G89" s="13" t="inlineStr">
        <is>
          <t>315883980175</t>
        </is>
      </c>
      <c r="H89" s="2" t="inlineStr">
        <is>
          <t>Nomeado</t>
        </is>
      </c>
      <c r="I89" s="2" t="inlineStr">
        <is>
          <t>Confirmado</t>
        </is>
      </c>
      <c r="J89" s="2" t="inlineStr">
        <is>
          <t>0006/2026</t>
        </is>
      </c>
      <c r="K89" s="2" t="inlineStr">
        <is>
          <t>Sim</t>
        </is>
      </c>
      <c r="L89" s="2" t="inlineStr">
        <is>
          <t>Assinou</t>
        </is>
      </c>
      <c r="M89" s="2" t="inlineStr">
        <is>
          <t>SIM</t>
        </is>
      </c>
      <c r="N89" s="2" t="inlineStr">
        <is>
          <t>OK</t>
        </is>
      </c>
      <c r="O89" s="2" t="n"/>
      <c r="P89" t="inlineStr">
        <is>
          <t>Confirmado</t>
        </is>
      </c>
      <c r="Q89" t="inlineStr">
        <is>
          <t>26</t>
        </is>
      </c>
    </row>
    <row r="90">
      <c r="A90" s="10" t="n">
        <v>3315</v>
      </c>
      <c r="B90" s="2" t="inlineStr">
        <is>
          <t>Presidente</t>
        </is>
      </c>
      <c r="C90" s="11" t="inlineStr">
        <is>
          <t>jair.correia@itamaraty.gov.br</t>
        </is>
      </c>
      <c r="D90" s="2" t="inlineStr">
        <is>
          <t>JAIR DE ASSUNÇÃO CORREIA FILHO</t>
        </is>
      </c>
      <c r="E90" s="2" t="inlineStr">
        <is>
          <t>SIM</t>
        </is>
      </c>
      <c r="F90" s="12">
        <f>A90&amp;"|"&amp;B90</f>
        <v/>
      </c>
      <c r="G90" s="13" t="inlineStr">
        <is>
          <t>048485050850</t>
        </is>
      </c>
      <c r="H90" s="2" t="inlineStr">
        <is>
          <t>Nomeado</t>
        </is>
      </c>
      <c r="I90" s="2" t="inlineStr">
        <is>
          <t>Confirmado</t>
        </is>
      </c>
      <c r="J90" s="2" t="inlineStr">
        <is>
          <t>0006/2026</t>
        </is>
      </c>
      <c r="K90" s="2" t="inlineStr">
        <is>
          <t>Não</t>
        </is>
      </c>
      <c r="L90" s="2" t="inlineStr">
        <is>
          <t>Não consta</t>
        </is>
      </c>
      <c r="M90" s="2" t="inlineStr">
        <is>
          <t>NAO</t>
        </is>
      </c>
      <c r="N90" s="2" t="n"/>
      <c r="O90" s="2" t="inlineStr">
        <is>
          <t>Elo: Confirmado em 30/09, mas não consta em nenhum boletim</t>
        </is>
      </c>
      <c r="P90" t="inlineStr">
        <is>
          <t>Sem resposta</t>
        </is>
      </c>
      <c r="Q90" t="inlineStr">
        <is>
          <t>—</t>
        </is>
      </c>
    </row>
    <row r="91">
      <c r="A91" s="10" t="n">
        <v>3315</v>
      </c>
      <c r="B91" s="2" t="inlineStr">
        <is>
          <t>1º Mesário</t>
        </is>
      </c>
      <c r="C91" s="11" t="inlineStr">
        <is>
          <t>alaf.ribeiro.965@gmail.com</t>
        </is>
      </c>
      <c r="D91" s="2" t="inlineStr">
        <is>
          <t>HUMBERTO ALAF RIBEIRO MARTINS</t>
        </is>
      </c>
      <c r="E91" s="2" t="inlineStr">
        <is>
          <t>SIM</t>
        </is>
      </c>
      <c r="F91" s="12">
        <f>A91&amp;"|"&amp;B91</f>
        <v/>
      </c>
      <c r="G91" s="13" t="inlineStr">
        <is>
          <t>432966340108</t>
        </is>
      </c>
      <c r="H91" s="2" t="inlineStr">
        <is>
          <t>Nomeado</t>
        </is>
      </c>
      <c r="I91" s="2" t="inlineStr">
        <is>
          <t>Confirmado</t>
        </is>
      </c>
      <c r="J91" s="2" t="inlineStr">
        <is>
          <t>0006/2026</t>
        </is>
      </c>
      <c r="K91" s="2" t="inlineStr">
        <is>
          <t>Sim</t>
        </is>
      </c>
      <c r="L91" s="2" t="inlineStr">
        <is>
          <t>Assinou</t>
        </is>
      </c>
      <c r="M91" s="2" t="inlineStr">
        <is>
          <t>SIM</t>
        </is>
      </c>
      <c r="N91" s="2" t="inlineStr">
        <is>
          <t>OK</t>
        </is>
      </c>
      <c r="O91" s="2" t="n"/>
      <c r="P91" t="inlineStr">
        <is>
          <t>Confirmado</t>
        </is>
      </c>
      <c r="Q91" t="inlineStr">
        <is>
          <t>11</t>
        </is>
      </c>
    </row>
    <row r="92">
      <c r="A92" s="10" t="n">
        <v>3315</v>
      </c>
      <c r="B92" s="2" t="inlineStr">
        <is>
          <t>2º Mesário</t>
        </is>
      </c>
      <c r="C92" s="11" t="inlineStr">
        <is>
          <t>jmendes_mendes@live.com</t>
        </is>
      </c>
      <c r="D92" s="2" t="inlineStr">
        <is>
          <t>JESSICA MENDES</t>
        </is>
      </c>
      <c r="E92" s="2" t="inlineStr">
        <is>
          <t>SIM</t>
        </is>
      </c>
      <c r="F92" s="12">
        <f>A92&amp;"|"&amp;B92</f>
        <v/>
      </c>
      <c r="G92" s="13" t="inlineStr">
        <is>
          <t>371589770116</t>
        </is>
      </c>
      <c r="H92" s="2" t="inlineStr">
        <is>
          <t>Nomeado</t>
        </is>
      </c>
      <c r="I92" s="2" t="inlineStr">
        <is>
          <t>Confirmado</t>
        </is>
      </c>
      <c r="J92" s="2" t="inlineStr">
        <is>
          <t>0006/2026</t>
        </is>
      </c>
      <c r="K92" s="2" t="inlineStr">
        <is>
          <t>Sim</t>
        </is>
      </c>
      <c r="L92" s="2" t="inlineStr">
        <is>
          <t>Assinou</t>
        </is>
      </c>
      <c r="M92" s="2" t="inlineStr">
        <is>
          <t>SIM</t>
        </is>
      </c>
      <c r="N92" s="2" t="inlineStr">
        <is>
          <t>OK</t>
        </is>
      </c>
      <c r="O92" s="2" t="n"/>
      <c r="P92" t="inlineStr">
        <is>
          <t>Confirmado</t>
        </is>
      </c>
      <c r="Q92" t="inlineStr">
        <is>
          <t>34</t>
        </is>
      </c>
    </row>
    <row r="93">
      <c r="A93" s="10" t="n">
        <v>3315</v>
      </c>
      <c r="B93" s="2" t="inlineStr">
        <is>
          <t>1º Secretário</t>
        </is>
      </c>
      <c r="C93" s="11" t="inlineStr">
        <is>
          <t>alanegerssicaandrade@gmail.com</t>
        </is>
      </c>
      <c r="D93" s="2" t="inlineStr">
        <is>
          <t>ALANE GERSSICA DE ANDRADE DO NASCIMENTO</t>
        </is>
      </c>
      <c r="E93" s="2" t="inlineStr">
        <is>
          <t>SIM</t>
        </is>
      </c>
      <c r="F93" s="12">
        <f>A93&amp;"|"&amp;B93</f>
        <v/>
      </c>
      <c r="G93" s="13" t="inlineStr">
        <is>
          <t>067033051090</t>
        </is>
      </c>
      <c r="H93" s="2" t="inlineStr">
        <is>
          <t>Nomeado</t>
        </is>
      </c>
      <c r="I93" s="2" t="inlineStr">
        <is>
          <t>Confirmado</t>
        </is>
      </c>
      <c r="J93" s="2" t="inlineStr">
        <is>
          <t>0006/2026</t>
        </is>
      </c>
      <c r="K93" s="2" t="inlineStr">
        <is>
          <t>Não</t>
        </is>
      </c>
      <c r="L93" s="2" t="inlineStr">
        <is>
          <t>Não consta</t>
        </is>
      </c>
      <c r="M93" s="2" t="inlineStr">
        <is>
          <t>NAO</t>
        </is>
      </c>
      <c r="N93" s="2" t="n"/>
      <c r="O93" s="2" t="inlineStr">
        <is>
          <t>Elo: Confirmado em 30/09, mas não consta em nenhum boletim</t>
        </is>
      </c>
      <c r="P93" t="inlineStr">
        <is>
          <t>Não volta</t>
        </is>
      </c>
      <c r="Q93" t="inlineStr">
        <is>
          <t>24</t>
        </is>
      </c>
    </row>
    <row r="94">
      <c r="A94" s="10" t="n">
        <v>3322</v>
      </c>
      <c r="B94" s="2" t="inlineStr">
        <is>
          <t>Presidente</t>
        </is>
      </c>
      <c r="C94" s="11" t="inlineStr">
        <is>
          <t>maira.fabiani@itamaraty.gov.br</t>
        </is>
      </c>
      <c r="D94" s="2" t="inlineStr">
        <is>
          <t>MAÍRA FABIOLA FABIANI</t>
        </is>
      </c>
      <c r="E94" s="2" t="inlineStr">
        <is>
          <t>SIM</t>
        </is>
      </c>
      <c r="F94" s="12">
        <f>A94&amp;"|"&amp;B94</f>
        <v/>
      </c>
      <c r="G94" s="13" t="inlineStr">
        <is>
          <t>291911490183</t>
        </is>
      </c>
      <c r="H94" s="2" t="inlineStr">
        <is>
          <t>Nomeado</t>
        </is>
      </c>
      <c r="I94" s="2" t="inlineStr">
        <is>
          <t>Confirmado</t>
        </is>
      </c>
      <c r="J94" s="2" t="inlineStr">
        <is>
          <t>0006/2026</t>
        </is>
      </c>
      <c r="K94" s="2" t="inlineStr">
        <is>
          <t>Sim</t>
        </is>
      </c>
      <c r="L94" s="2" t="inlineStr">
        <is>
          <t>Não consta</t>
        </is>
      </c>
      <c r="M94" s="2" t="inlineStr">
        <is>
          <t>SIM</t>
        </is>
      </c>
      <c r="N94" s="2" t="inlineStr">
        <is>
          <t>OK</t>
        </is>
      </c>
      <c r="O94" s="2" t="n"/>
      <c r="P94" t="inlineStr">
        <is>
          <t>Sem resposta</t>
        </is>
      </c>
      <c r="Q94" t="inlineStr">
        <is>
          <t>—</t>
        </is>
      </c>
    </row>
    <row r="95">
      <c r="A95" s="10" t="n">
        <v>3322</v>
      </c>
      <c r="B95" s="2" t="inlineStr">
        <is>
          <t>1º Mesário</t>
        </is>
      </c>
      <c r="C95" s="11" t="inlineStr">
        <is>
          <t>alves.brenda65@gmail.com</t>
        </is>
      </c>
      <c r="D95" s="2" t="inlineStr">
        <is>
          <t>BRENDA ALVES DA SILVA</t>
        </is>
      </c>
      <c r="E95" s="2" t="inlineStr">
        <is>
          <t>NAO</t>
        </is>
      </c>
      <c r="F95" s="12">
        <f>A95&amp;"|"&amp;B95</f>
        <v/>
      </c>
      <c r="G95" s="13" t="inlineStr">
        <is>
          <t>138840380256</t>
        </is>
      </c>
      <c r="H95" s="2" t="inlineStr">
        <is>
          <t>Convocado</t>
        </is>
      </c>
      <c r="I95" s="2" t="inlineStr">
        <is>
          <t>Confirmado</t>
        </is>
      </c>
      <c r="J95" s="2" t="inlineStr">
        <is>
          <t>-</t>
        </is>
      </c>
      <c r="K95" s="2" t="inlineStr">
        <is>
          <t>Não</t>
        </is>
      </c>
      <c r="L95" s="2" t="inlineStr">
        <is>
          <t>Assinou (urna 3054)</t>
        </is>
      </c>
      <c r="M95" s="2" t="inlineStr">
        <is>
          <t>SIM</t>
        </is>
      </c>
      <c r="N95" s="2" t="n"/>
      <c r="O95" s="2" t="inlineStr">
        <is>
          <t>Atuou em urna diferente da designada; Registrado só no fechamento</t>
        </is>
      </c>
      <c r="P95" t="inlineStr">
        <is>
          <t>Confirmado</t>
        </is>
      </c>
      <c r="Q95" t="inlineStr">
        <is>
          <t>62</t>
        </is>
      </c>
    </row>
    <row r="96">
      <c r="A96" s="10" t="n">
        <v>3322</v>
      </c>
      <c r="B96" s="2" t="inlineStr">
        <is>
          <t>2º Mesário</t>
        </is>
      </c>
      <c r="C96" s="11" t="n"/>
      <c r="D96" s="2" t="inlineStr">
        <is>
          <t>RUDINEI CORDEIRO</t>
        </is>
      </c>
      <c r="E96" s="2" t="inlineStr">
        <is>
          <t>NAO</t>
        </is>
      </c>
      <c r="F96" s="12">
        <f>A96&amp;"|"&amp;B96</f>
        <v/>
      </c>
      <c r="G96" s="13" t="inlineStr">
        <is>
          <t>070501940973</t>
        </is>
      </c>
      <c r="H96" s="2" t="inlineStr">
        <is>
          <t>Nomeado</t>
        </is>
      </c>
      <c r="I96" s="2" t="inlineStr">
        <is>
          <t>Confirmado</t>
        </is>
      </c>
      <c r="J96" s="2" t="inlineStr">
        <is>
          <t>0006/2026</t>
        </is>
      </c>
      <c r="K96" s="2" t="inlineStr">
        <is>
          <t>Não</t>
        </is>
      </c>
      <c r="L96" s="2" t="inlineStr">
        <is>
          <t>Não consta</t>
        </is>
      </c>
      <c r="M96" s="2" t="inlineStr">
        <is>
          <t>NAO</t>
        </is>
      </c>
      <c r="N96" s="2" t="inlineStr">
        <is>
          <t>OK</t>
        </is>
      </c>
      <c r="O96" s="2" t="inlineStr">
        <is>
          <t>Elo: Confirmado em 30/09, mas não consta em nenhum boletim</t>
        </is>
      </c>
      <c r="P96" t="inlineStr">
        <is>
          <t>Sem resposta</t>
        </is>
      </c>
      <c r="Q96" t="inlineStr">
        <is>
          <t>—</t>
        </is>
      </c>
    </row>
    <row r="97">
      <c r="A97" s="10" t="n">
        <v>3322</v>
      </c>
      <c r="B97" s="2" t="inlineStr">
        <is>
          <t>1º Secretário</t>
        </is>
      </c>
      <c r="C97" s="11" t="inlineStr">
        <is>
          <t>nadiaweber12@yahoo.com.br</t>
        </is>
      </c>
      <c r="D97" s="2" t="inlineStr">
        <is>
          <t>NADIA FERNANDA WEBER</t>
        </is>
      </c>
      <c r="E97" s="2" t="inlineStr">
        <is>
          <t>SIM</t>
        </is>
      </c>
      <c r="F97" s="12">
        <f>A97&amp;"|"&amp;B97</f>
        <v/>
      </c>
      <c r="G97" s="13" t="inlineStr">
        <is>
          <t>060098140973</t>
        </is>
      </c>
      <c r="H97" s="2" t="inlineStr">
        <is>
          <t>Nomeado</t>
        </is>
      </c>
      <c r="I97" s="2" t="inlineStr">
        <is>
          <t>Confirmado</t>
        </is>
      </c>
      <c r="J97" s="2" t="inlineStr">
        <is>
          <t>0006/2026</t>
        </is>
      </c>
      <c r="K97" s="2" t="inlineStr">
        <is>
          <t>Sim</t>
        </is>
      </c>
      <c r="L97" s="2" t="inlineStr">
        <is>
          <t>Assinou</t>
        </is>
      </c>
      <c r="M97" s="2" t="inlineStr">
        <is>
          <t>SIM</t>
        </is>
      </c>
      <c r="N97" s="2" t="inlineStr">
        <is>
          <t>OK</t>
        </is>
      </c>
      <c r="O97" s="2" t="n"/>
      <c r="P97" t="inlineStr">
        <is>
          <t>Confirmado</t>
        </is>
      </c>
      <c r="Q97" t="inlineStr">
        <is>
          <t>49</t>
        </is>
      </c>
    </row>
    <row r="98">
      <c r="A98" s="10" t="n">
        <v>3442</v>
      </c>
      <c r="B98" s="2" t="inlineStr">
        <is>
          <t>Presidente</t>
        </is>
      </c>
      <c r="C98" s="11" t="inlineStr">
        <is>
          <t>danferrareis@hotmail.com</t>
        </is>
      </c>
      <c r="D98" s="2" t="inlineStr">
        <is>
          <t>DANILO ANDERSON FERRAREIS</t>
        </is>
      </c>
      <c r="E98" s="2" t="inlineStr">
        <is>
          <t>SIM</t>
        </is>
      </c>
      <c r="F98" s="12">
        <f>A98&amp;"|"&amp;B98</f>
        <v/>
      </c>
      <c r="G98" s="13" t="inlineStr">
        <is>
          <t>221461620116</t>
        </is>
      </c>
      <c r="H98" s="2" t="inlineStr">
        <is>
          <t>Nomeado</t>
        </is>
      </c>
      <c r="I98" s="2" t="inlineStr">
        <is>
          <t>Confirmado</t>
        </is>
      </c>
      <c r="J98" s="2" t="inlineStr">
        <is>
          <t>0006/2026</t>
        </is>
      </c>
      <c r="K98" s="2" t="inlineStr">
        <is>
          <t>Sim</t>
        </is>
      </c>
      <c r="L98" s="2" t="inlineStr">
        <is>
          <t>Assinou</t>
        </is>
      </c>
      <c r="M98" s="2" t="inlineStr">
        <is>
          <t>SIM</t>
        </is>
      </c>
      <c r="N98" s="2" t="inlineStr">
        <is>
          <t>OK</t>
        </is>
      </c>
      <c r="O98" s="2" t="n"/>
      <c r="P98" t="inlineStr">
        <is>
          <t>Confirmado</t>
        </is>
      </c>
      <c r="Q98" t="inlineStr">
        <is>
          <t>13</t>
        </is>
      </c>
    </row>
    <row r="99">
      <c r="A99" s="10" t="n">
        <v>3442</v>
      </c>
      <c r="B99" s="2" t="inlineStr">
        <is>
          <t>1º Mesário</t>
        </is>
      </c>
      <c r="C99" s="11" t="inlineStr">
        <is>
          <t>tstrhgt@gmail.com</t>
        </is>
      </c>
      <c r="D99" s="2" t="inlineStr">
        <is>
          <t>GUSTAVO DAVID LOPES</t>
        </is>
      </c>
      <c r="E99" s="2" t="inlineStr">
        <is>
          <t>NAO</t>
        </is>
      </c>
      <c r="F99" s="12">
        <f>A99&amp;"|"&amp;B99</f>
        <v/>
      </c>
      <c r="G99" s="13" t="inlineStr">
        <is>
          <t>378192050116</t>
        </is>
      </c>
      <c r="H99" s="2" t="inlineStr">
        <is>
          <t>Convocado</t>
        </is>
      </c>
      <c r="I99" s="2" t="inlineStr">
        <is>
          <t>Confirmado</t>
        </is>
      </c>
      <c r="J99" s="2" t="inlineStr">
        <is>
          <t>-</t>
        </is>
      </c>
      <c r="K99" s="2" t="inlineStr">
        <is>
          <t>Não</t>
        </is>
      </c>
      <c r="L99" s="2" t="inlineStr">
        <is>
          <t>Não consta</t>
        </is>
      </c>
      <c r="M99" s="2" t="inlineStr">
        <is>
          <t>NAO</t>
        </is>
      </c>
      <c r="N99" s="2" t="inlineStr">
        <is>
          <t>OK</t>
        </is>
      </c>
      <c r="O99" s="2" t="inlineStr">
        <is>
          <t>Elo: Confirmado em 30/09, mas não consta em nenhum boletim</t>
        </is>
      </c>
      <c r="P99" t="inlineStr">
        <is>
          <t>Sem resposta</t>
        </is>
      </c>
      <c r="Q99" t="inlineStr">
        <is>
          <t>—</t>
        </is>
      </c>
    </row>
    <row r="100" ht="16.5" customHeight="1">
      <c r="A100" s="10" t="n">
        <v>3442</v>
      </c>
      <c r="B100" s="2" t="inlineStr">
        <is>
          <t>2º Mesário</t>
        </is>
      </c>
      <c r="C100" s="11" t="inlineStr">
        <is>
          <t>tifanyazuma@outlook.com</t>
        </is>
      </c>
      <c r="D100" s="2" t="inlineStr">
        <is>
          <t>TIFANY AZUMA TROMBINO XANDÚ</t>
        </is>
      </c>
      <c r="E100" s="2" t="inlineStr">
        <is>
          <t>NAO</t>
        </is>
      </c>
      <c r="F100" s="12">
        <f>A100&amp;"|"&amp;B100</f>
        <v/>
      </c>
      <c r="G100" s="13" t="inlineStr">
        <is>
          <t>434149230132</t>
        </is>
      </c>
      <c r="H100" s="2" t="inlineStr">
        <is>
          <t>Nomeado</t>
        </is>
      </c>
      <c r="I100" s="2" t="inlineStr">
        <is>
          <t>Confirmado</t>
        </is>
      </c>
      <c r="J100" s="2" t="inlineStr">
        <is>
          <t>0006/2026</t>
        </is>
      </c>
      <c r="K100" s="2" t="inlineStr">
        <is>
          <t>Não</t>
        </is>
      </c>
      <c r="L100" s="2" t="inlineStr">
        <is>
          <t>Não consta</t>
        </is>
      </c>
      <c r="M100" s="2" t="inlineStr">
        <is>
          <t>NAO</t>
        </is>
      </c>
      <c r="N100" s="2" t="inlineStr">
        <is>
          <t>OK</t>
        </is>
      </c>
      <c r="O100" s="2" t="inlineStr">
        <is>
          <t>Elo: Confirmado em 30/09, mas não consta em nenhum boletim</t>
        </is>
      </c>
      <c r="P100" t="inlineStr">
        <is>
          <t>Sem resposta</t>
        </is>
      </c>
      <c r="Q100" t="inlineStr">
        <is>
          <t>—</t>
        </is>
      </c>
    </row>
    <row r="101">
      <c r="A101" s="10" t="n">
        <v>3442</v>
      </c>
      <c r="B101" s="2" t="inlineStr">
        <is>
          <t>1º Secretário</t>
        </is>
      </c>
      <c r="C101" s="11" t="inlineStr">
        <is>
          <t>Nicolicamilo@hotmail.com</t>
        </is>
      </c>
      <c r="D101" s="2" t="inlineStr">
        <is>
          <t>NICOLI CAMPOS CAMILO</t>
        </is>
      </c>
      <c r="E101" s="2" t="inlineStr">
        <is>
          <t>SIM</t>
        </is>
      </c>
      <c r="F101" s="12">
        <f>A101&amp;"|"&amp;B101</f>
        <v/>
      </c>
      <c r="G101" s="13" t="inlineStr">
        <is>
          <t>025945261422</t>
        </is>
      </c>
      <c r="H101" s="2" t="inlineStr">
        <is>
          <t>Convocado</t>
        </is>
      </c>
      <c r="I101" s="2" t="inlineStr">
        <is>
          <t>Confirmado</t>
        </is>
      </c>
      <c r="J101" s="2" t="inlineStr">
        <is>
          <t>-</t>
        </is>
      </c>
      <c r="K101" s="2" t="inlineStr">
        <is>
          <t>Sim</t>
        </is>
      </c>
      <c r="L101" s="2" t="inlineStr">
        <is>
          <t>Assinou</t>
        </is>
      </c>
      <c r="M101" s="2" t="inlineStr">
        <is>
          <t>SIM</t>
        </is>
      </c>
      <c r="N101" s="2" t="inlineStr">
        <is>
          <t>OK</t>
        </is>
      </c>
      <c r="O101" s="2" t="n"/>
      <c r="P101" t="inlineStr">
        <is>
          <t>Confirmado</t>
        </is>
      </c>
      <c r="Q101" t="inlineStr">
        <is>
          <t>28</t>
        </is>
      </c>
    </row>
    <row r="102">
      <c r="A102" s="10" t="n">
        <v>3688</v>
      </c>
      <c r="B102" s="2" t="inlineStr">
        <is>
          <t>Presidente</t>
        </is>
      </c>
      <c r="C102" s="11" t="inlineStr">
        <is>
          <t>juliana.nunes2010@hotmail.com</t>
        </is>
      </c>
      <c r="D102" s="2" t="inlineStr">
        <is>
          <t>JULIANA NUNES DE MENDONÇA</t>
        </is>
      </c>
      <c r="E102" s="2" t="inlineStr">
        <is>
          <t>SIM</t>
        </is>
      </c>
      <c r="F102" s="12">
        <f>A102&amp;"|"&amp;B102</f>
        <v/>
      </c>
      <c r="G102" s="13" t="inlineStr">
        <is>
          <t>160842290281</t>
        </is>
      </c>
      <c r="H102" s="2" t="inlineStr">
        <is>
          <t>Nomeado</t>
        </is>
      </c>
      <c r="I102" s="2" t="inlineStr">
        <is>
          <t>Confirmado</t>
        </is>
      </c>
      <c r="J102" s="2" t="inlineStr">
        <is>
          <t>0006/2026</t>
        </is>
      </c>
      <c r="K102" s="2" t="inlineStr">
        <is>
          <t>Sim</t>
        </is>
      </c>
      <c r="L102" s="2" t="inlineStr">
        <is>
          <t>Assinou (fora da linha própria)</t>
        </is>
      </c>
      <c r="M102" s="2" t="inlineStr">
        <is>
          <t>SIM</t>
        </is>
      </c>
      <c r="N102" s="2" t="inlineStr">
        <is>
          <t>OK</t>
        </is>
      </c>
      <c r="O102" s="2" t="n"/>
      <c r="P102" t="inlineStr">
        <is>
          <t>Sem resposta</t>
        </is>
      </c>
      <c r="Q102" t="inlineStr">
        <is>
          <t>—</t>
        </is>
      </c>
    </row>
    <row r="103">
      <c r="A103" s="10" t="n">
        <v>3688</v>
      </c>
      <c r="B103" s="2" t="inlineStr">
        <is>
          <t>1º Mesário</t>
        </is>
      </c>
      <c r="C103" s="11" t="inlineStr">
        <is>
          <t>laurabvieiras@gmail.com</t>
        </is>
      </c>
      <c r="D103" s="2" t="inlineStr">
        <is>
          <t>LAURA BEATRIZ VIEIRA SANTOS</t>
        </is>
      </c>
      <c r="E103" s="2" t="inlineStr">
        <is>
          <t>NAO</t>
        </is>
      </c>
      <c r="F103" s="12">
        <f>A103&amp;"|"&amp;B103</f>
        <v/>
      </c>
      <c r="G103" s="13" t="inlineStr">
        <is>
          <t>213250030299</t>
        </is>
      </c>
      <c r="H103" s="2" t="inlineStr">
        <is>
          <t>Nomeado</t>
        </is>
      </c>
      <c r="I103" s="2" t="inlineStr">
        <is>
          <t>Confirmado</t>
        </is>
      </c>
      <c r="J103" s="2" t="inlineStr">
        <is>
          <t>0006/2026</t>
        </is>
      </c>
      <c r="K103" s="2" t="inlineStr">
        <is>
          <t>Não</t>
        </is>
      </c>
      <c r="L103" s="2" t="inlineStr">
        <is>
          <t>Não consta</t>
        </is>
      </c>
      <c r="M103" s="2" t="inlineStr">
        <is>
          <t>NAO</t>
        </is>
      </c>
      <c r="N103" s="2" t="inlineStr">
        <is>
          <t>OK</t>
        </is>
      </c>
      <c r="O103" s="2" t="inlineStr">
        <is>
          <t>Elo: Confirmado em 30/09, mas não consta em nenhum boletim</t>
        </is>
      </c>
      <c r="P103" t="inlineStr">
        <is>
          <t>Não volta</t>
        </is>
      </c>
      <c r="Q103" t="inlineStr">
        <is>
          <t>20</t>
        </is>
      </c>
    </row>
    <row r="104">
      <c r="A104" s="10" t="n">
        <v>3688</v>
      </c>
      <c r="B104" s="2" t="inlineStr">
        <is>
          <t>2º Mesário</t>
        </is>
      </c>
      <c r="C104" s="11" t="n"/>
      <c r="D104" s="2" t="inlineStr">
        <is>
          <t>DIEGO MENDANHA DA SILVA MAIA</t>
        </is>
      </c>
      <c r="E104" s="2" t="inlineStr">
        <is>
          <t>SIM</t>
        </is>
      </c>
      <c r="F104" s="12">
        <f>A104&amp;"|"&amp;B104</f>
        <v/>
      </c>
      <c r="G104" s="13" t="inlineStr">
        <is>
          <t>031442581473</t>
        </is>
      </c>
      <c r="H104" s="2" t="inlineStr">
        <is>
          <t>Convocado</t>
        </is>
      </c>
      <c r="I104" s="2" t="inlineStr">
        <is>
          <t>Sem resposta</t>
        </is>
      </c>
      <c r="J104" s="2" t="inlineStr">
        <is>
          <t>-</t>
        </is>
      </c>
      <c r="K104" s="2" t="inlineStr">
        <is>
          <t>Sim</t>
        </is>
      </c>
      <c r="L104" s="2" t="inlineStr">
        <is>
          <t>Assinou</t>
        </is>
      </c>
      <c r="M104" s="2" t="inlineStr">
        <is>
          <t>SIM</t>
        </is>
      </c>
      <c r="N104" s="2" t="inlineStr">
        <is>
          <t>OK</t>
        </is>
      </c>
      <c r="O104" s="2" t="inlineStr">
        <is>
          <t>Elo: Sem resposta em 30/09, mas compareceu</t>
        </is>
      </c>
      <c r="P104" t="inlineStr">
        <is>
          <t>Confirmado</t>
        </is>
      </c>
      <c r="Q104" t="inlineStr">
        <is>
          <t>73</t>
        </is>
      </c>
    </row>
    <row r="105">
      <c r="A105" s="10" t="n">
        <v>3688</v>
      </c>
      <c r="B105" s="2" t="inlineStr">
        <is>
          <t>1º Secretário</t>
        </is>
      </c>
      <c r="C105" s="11" t="inlineStr">
        <is>
          <t>lauroramos@outlook.com</t>
        </is>
      </c>
      <c r="D105" s="2" t="inlineStr">
        <is>
          <t>LAURO SILVA RAMOS</t>
        </is>
      </c>
      <c r="E105" s="2" t="inlineStr">
        <is>
          <t>NAO</t>
        </is>
      </c>
      <c r="F105" s="12">
        <f>A105&amp;"|"&amp;B105</f>
        <v/>
      </c>
      <c r="G105" s="13" t="inlineStr">
        <is>
          <t>140841090213</t>
        </is>
      </c>
      <c r="H105" s="2" t="inlineStr">
        <is>
          <t>Nomeado</t>
        </is>
      </c>
      <c r="I105" s="2" t="inlineStr">
        <is>
          <t>Confirmado</t>
        </is>
      </c>
      <c r="J105" s="2" t="inlineStr">
        <is>
          <t>0006/2026</t>
        </is>
      </c>
      <c r="K105" s="2" t="inlineStr">
        <is>
          <t>Sim</t>
        </is>
      </c>
      <c r="L105" s="2" t="inlineStr">
        <is>
          <t>Assinou</t>
        </is>
      </c>
      <c r="M105" s="2" t="inlineStr">
        <is>
          <t>SIM</t>
        </is>
      </c>
      <c r="N105" s="2" t="n"/>
      <c r="O105" s="2" t="n"/>
      <c r="P105" t="inlineStr">
        <is>
          <t>Não volta</t>
        </is>
      </c>
      <c r="Q105" t="inlineStr">
        <is>
          <t>75</t>
        </is>
      </c>
    </row>
    <row r="106">
      <c r="A106" s="10" t="n">
        <v>3832</v>
      </c>
      <c r="B106" s="2" t="inlineStr">
        <is>
          <t>Presidente</t>
        </is>
      </c>
      <c r="C106" s="14" t="inlineStr">
        <is>
          <t>sem contato</t>
        </is>
      </c>
      <c r="D106" s="2" t="inlineStr">
        <is>
          <t>GILMAR BARBOSA DE SOUZA</t>
        </is>
      </c>
      <c r="E106" s="2" t="inlineStr">
        <is>
          <t>SIM</t>
        </is>
      </c>
      <c r="F106" s="12">
        <f>A106&amp;"|"&amp;B106</f>
        <v/>
      </c>
      <c r="G106" s="13" t="inlineStr">
        <is>
          <t>235749730175</t>
        </is>
      </c>
      <c r="H106" s="2" t="inlineStr">
        <is>
          <t>Nomeado</t>
        </is>
      </c>
      <c r="I106" s="2" t="inlineStr">
        <is>
          <t>Confirmado</t>
        </is>
      </c>
      <c r="J106" s="2" t="inlineStr">
        <is>
          <t>0006/2026</t>
        </is>
      </c>
      <c r="K106" s="2" t="inlineStr">
        <is>
          <t>Sim</t>
        </is>
      </c>
      <c r="L106" s="2" t="inlineStr">
        <is>
          <t>Assinou (assinatura solta no rodapé)</t>
        </is>
      </c>
      <c r="M106" s="2" t="inlineStr">
        <is>
          <t>SIM</t>
        </is>
      </c>
      <c r="N106" s="2" t="inlineStr">
        <is>
          <t>OK</t>
        </is>
      </c>
      <c r="O106" s="2" t="inlineStr">
        <is>
          <t>Fechamento da urna com nomes manuscritos fora das linhas dos títulos</t>
        </is>
      </c>
      <c r="P106" t="inlineStr">
        <is>
          <t>Não volta</t>
        </is>
      </c>
      <c r="Q106" t="inlineStr">
        <is>
          <t>70</t>
        </is>
      </c>
    </row>
    <row r="107">
      <c r="A107" s="10" t="n">
        <v>3832</v>
      </c>
      <c r="B107" s="2" t="inlineStr">
        <is>
          <t>1º Mesário</t>
        </is>
      </c>
      <c r="C107" s="11" t="inlineStr">
        <is>
          <t>marinacoutor@gmail.com</t>
        </is>
      </c>
      <c r="D107" s="2" t="inlineStr">
        <is>
          <t>MARINA RODRIGUES COUTO</t>
        </is>
      </c>
      <c r="E107" s="2" t="inlineStr">
        <is>
          <t>SIM</t>
        </is>
      </c>
      <c r="F107" s="12">
        <f>A107&amp;"|"&amp;B107</f>
        <v/>
      </c>
      <c r="G107" s="13" t="inlineStr">
        <is>
          <t>203915870299</t>
        </is>
      </c>
      <c r="H107" s="2" t="inlineStr">
        <is>
          <t>Nomeado</t>
        </is>
      </c>
      <c r="I107" s="2" t="inlineStr">
        <is>
          <t>Confirmado</t>
        </is>
      </c>
      <c r="J107" s="2" t="inlineStr">
        <is>
          <t>0006/2026</t>
        </is>
      </c>
      <c r="K107" s="2" t="inlineStr">
        <is>
          <t>Sim</t>
        </is>
      </c>
      <c r="L107" s="2" t="inlineStr">
        <is>
          <t>Assinou</t>
        </is>
      </c>
      <c r="M107" s="2" t="inlineStr">
        <is>
          <t>SIM</t>
        </is>
      </c>
      <c r="N107" s="2" t="inlineStr">
        <is>
          <t>OK</t>
        </is>
      </c>
      <c r="O107" s="2" t="inlineStr">
        <is>
          <t>Fechamento da urna com nomes manuscritos fora das linhas dos títulos</t>
        </is>
      </c>
      <c r="P107" t="inlineStr">
        <is>
          <t>Confirmado</t>
        </is>
      </c>
      <c r="Q107" t="inlineStr">
        <is>
          <t>21</t>
        </is>
      </c>
    </row>
    <row r="108">
      <c r="A108" s="10" t="n">
        <v>3832</v>
      </c>
      <c r="B108" s="2" t="inlineStr">
        <is>
          <t>2º Mesário</t>
        </is>
      </c>
      <c r="C108" s="11" t="inlineStr">
        <is>
          <t>robertocanallijr@gmail.com</t>
        </is>
      </c>
      <c r="D108" s="2" t="inlineStr">
        <is>
          <t>ROBERTO CANALLI JUNIOR</t>
        </is>
      </c>
      <c r="E108" s="2" t="inlineStr">
        <is>
          <t>SIM</t>
        </is>
      </c>
      <c r="F108" s="12">
        <f>A108&amp;"|"&amp;B108</f>
        <v/>
      </c>
      <c r="G108" s="13" t="inlineStr">
        <is>
          <t>316781900183</t>
        </is>
      </c>
      <c r="H108" s="2" t="inlineStr">
        <is>
          <t>Nomeado</t>
        </is>
      </c>
      <c r="I108" s="2" t="inlineStr">
        <is>
          <t>Confirmado</t>
        </is>
      </c>
      <c r="J108" s="2" t="inlineStr">
        <is>
          <t>0006/2026</t>
        </is>
      </c>
      <c r="K108" s="2" t="inlineStr">
        <is>
          <t>Sim</t>
        </is>
      </c>
      <c r="L108" s="2" t="inlineStr">
        <is>
          <t>Assinou</t>
        </is>
      </c>
      <c r="M108" s="2" t="inlineStr">
        <is>
          <t>SIM</t>
        </is>
      </c>
      <c r="N108" s="2" t="inlineStr">
        <is>
          <t>OK</t>
        </is>
      </c>
      <c r="O108" s="2" t="inlineStr">
        <is>
          <t>Fechamento da urna com nomes manuscritos fora das linhas dos títulos</t>
        </is>
      </c>
      <c r="P108" t="inlineStr">
        <is>
          <t>Sem resposta</t>
        </is>
      </c>
      <c r="Q108" t="inlineStr">
        <is>
          <t>—</t>
        </is>
      </c>
    </row>
    <row r="109">
      <c r="A109" s="10" t="n">
        <v>3832</v>
      </c>
      <c r="B109" s="2" t="inlineStr">
        <is>
          <t>1º Secretário</t>
        </is>
      </c>
      <c r="C109" s="11" t="inlineStr">
        <is>
          <t>thaylaeugeniob@gmail.com</t>
        </is>
      </c>
      <c r="D109" s="2" t="inlineStr">
        <is>
          <t>THAYLA CHRISTINE EUGENIO BENTO</t>
        </is>
      </c>
      <c r="E109" s="2" t="inlineStr">
        <is>
          <t>SIM</t>
        </is>
      </c>
      <c r="F109" s="12">
        <f>A109&amp;"|"&amp;B109</f>
        <v/>
      </c>
      <c r="G109" s="13" t="inlineStr">
        <is>
          <t>430607590183</t>
        </is>
      </c>
      <c r="H109" s="2" t="inlineStr">
        <is>
          <t>Nomeado</t>
        </is>
      </c>
      <c r="I109" s="2" t="inlineStr">
        <is>
          <t>Confirmado</t>
        </is>
      </c>
      <c r="J109" s="2" t="inlineStr">
        <is>
          <t>0006/2026</t>
        </is>
      </c>
      <c r="K109" s="2" t="inlineStr">
        <is>
          <t>Sim</t>
        </is>
      </c>
      <c r="L109" s="2" t="inlineStr">
        <is>
          <t>Assinou</t>
        </is>
      </c>
      <c r="M109" s="2" t="inlineStr">
        <is>
          <t>SIM</t>
        </is>
      </c>
      <c r="N109" s="2" t="inlineStr">
        <is>
          <t>OK</t>
        </is>
      </c>
      <c r="O109" s="2" t="inlineStr">
        <is>
          <t>Fechamento da urna com nomes manuscritos fora das linhas dos títulos</t>
        </is>
      </c>
      <c r="P109" t="inlineStr">
        <is>
          <t>Confirmado</t>
        </is>
      </c>
      <c r="Q109" t="inlineStr">
        <is>
          <t>32, 33</t>
        </is>
      </c>
      <c r="R109" t="inlineStr">
        <is>
          <t>Respondeu 2 vezes, mesma resposta</t>
        </is>
      </c>
    </row>
    <row r="110">
      <c r="A110" s="10" t="n">
        <v>3862</v>
      </c>
      <c r="B110" s="2" t="inlineStr">
        <is>
          <t>Presidente</t>
        </is>
      </c>
      <c r="C110" s="11" t="inlineStr">
        <is>
          <t>emillylaise@outlook.com</t>
        </is>
      </c>
      <c r="D110" s="2" t="inlineStr">
        <is>
          <t>EMILLY LAÍSE PARDO XAVIER</t>
        </is>
      </c>
      <c r="E110" s="2" t="inlineStr">
        <is>
          <t>SIM</t>
        </is>
      </c>
      <c r="F110" s="12">
        <f>A110&amp;"|"&amp;B110</f>
        <v/>
      </c>
      <c r="G110" s="13" t="inlineStr">
        <is>
          <t>136018120523</t>
        </is>
      </c>
      <c r="H110" s="2" t="inlineStr">
        <is>
          <t>Nomeado</t>
        </is>
      </c>
      <c r="I110" s="2" t="inlineStr">
        <is>
          <t>Confirmado</t>
        </is>
      </c>
      <c r="J110" s="2" t="inlineStr">
        <is>
          <t>0006/2026</t>
        </is>
      </c>
      <c r="K110" s="2" t="inlineStr">
        <is>
          <t>Sim</t>
        </is>
      </c>
      <c r="L110" s="2" t="inlineStr">
        <is>
          <t>Assinou</t>
        </is>
      </c>
      <c r="M110" s="2" t="inlineStr">
        <is>
          <t>SIM</t>
        </is>
      </c>
      <c r="N110" s="2" t="inlineStr">
        <is>
          <t>OK</t>
        </is>
      </c>
      <c r="O110" s="2" t="n"/>
      <c r="P110" t="inlineStr">
        <is>
          <t>Confirmado</t>
        </is>
      </c>
      <c r="Q110" t="inlineStr">
        <is>
          <t>65</t>
        </is>
      </c>
    </row>
    <row r="111">
      <c r="A111" s="10" t="n">
        <v>3862</v>
      </c>
      <c r="B111" s="2" t="inlineStr">
        <is>
          <t>1º Mesário</t>
        </is>
      </c>
      <c r="C111" s="11" t="inlineStr">
        <is>
          <t xml:space="preserve">cabralbruma@gmail.com </t>
        </is>
      </c>
      <c r="D111" s="2" t="inlineStr">
        <is>
          <t>BRUNA MARIA DE ALMEIDA CABRAL</t>
        </is>
      </c>
      <c r="E111" s="2" t="inlineStr">
        <is>
          <t>SIM</t>
        </is>
      </c>
      <c r="F111" s="12">
        <f>A111&amp;"|"&amp;B111</f>
        <v/>
      </c>
      <c r="G111" s="13" t="inlineStr">
        <is>
          <t>033053041791</t>
        </is>
      </c>
      <c r="H111" s="2" t="inlineStr">
        <is>
          <t>Nomeado</t>
        </is>
      </c>
      <c r="I111" s="2" t="inlineStr">
        <is>
          <t>Confirmado</t>
        </is>
      </c>
      <c r="J111" s="2" t="inlineStr">
        <is>
          <t>0006/2026</t>
        </is>
      </c>
      <c r="K111" s="2" t="inlineStr">
        <is>
          <t>Sim</t>
        </is>
      </c>
      <c r="L111" s="2" t="inlineStr">
        <is>
          <t>Assinou</t>
        </is>
      </c>
      <c r="M111" s="2" t="inlineStr">
        <is>
          <t>SIM</t>
        </is>
      </c>
      <c r="N111" s="2" t="inlineStr">
        <is>
          <t>OK</t>
        </is>
      </c>
      <c r="O111" s="2" t="n"/>
      <c r="P111" t="inlineStr">
        <is>
          <t>Confirmado</t>
        </is>
      </c>
      <c r="Q111" t="inlineStr">
        <is>
          <t>23</t>
        </is>
      </c>
    </row>
    <row r="112">
      <c r="A112" s="10" t="n">
        <v>3862</v>
      </c>
      <c r="B112" s="2" t="inlineStr">
        <is>
          <t>1º Secretário</t>
        </is>
      </c>
      <c r="C112" s="14" t="inlineStr">
        <is>
          <t>sem contato</t>
        </is>
      </c>
      <c r="D112" s="2" t="inlineStr">
        <is>
          <t>IVANI BATISTA DE FREITAS MONTEIRO</t>
        </is>
      </c>
      <c r="E112" s="2" t="inlineStr">
        <is>
          <t>SIM</t>
        </is>
      </c>
      <c r="F112" s="12">
        <f>A112&amp;"|"&amp;B112</f>
        <v/>
      </c>
      <c r="G112" s="13" t="inlineStr">
        <is>
          <t>312335790124</t>
        </is>
      </c>
      <c r="H112" s="2" t="inlineStr">
        <is>
          <t>Nomeado</t>
        </is>
      </c>
      <c r="I112" s="2" t="inlineStr">
        <is>
          <t>Confirmado</t>
        </is>
      </c>
      <c r="J112" s="2" t="inlineStr">
        <is>
          <t>0006/2026</t>
        </is>
      </c>
      <c r="K112" s="2" t="inlineStr">
        <is>
          <t>Sim</t>
        </is>
      </c>
      <c r="L112" s="2" t="inlineStr">
        <is>
          <t>Assinou</t>
        </is>
      </c>
      <c r="M112" s="2" t="inlineStr">
        <is>
          <t>SIM</t>
        </is>
      </c>
      <c r="N112" s="2" t="inlineStr">
        <is>
          <t>OK</t>
        </is>
      </c>
      <c r="O112" s="2" t="n"/>
      <c r="P112" t="inlineStr">
        <is>
          <t>Confirmado</t>
        </is>
      </c>
      <c r="Q112" t="inlineStr">
        <is>
          <t>71</t>
        </is>
      </c>
    </row>
  </sheetData>
  <autoFilter ref="A1:O112">
    <sortState ref="A6:O103">
      <sortCondition ref="M1:M112"/>
    </sortState>
  </autoFilter>
  <conditionalFormatting sqref="A2:E112">
    <cfRule type="expression" priority="2" dxfId="17">
      <formula>$E2="SIM"</formula>
    </cfRule>
    <cfRule type="expression" priority="3" dxfId="4">
      <formula>$E2="NAO"</formula>
    </cfRule>
    <cfRule type="expression" priority="4" dxfId="3">
      <formula>$E2="0006/2026"</formula>
    </cfRule>
    <cfRule type="expression" priority="5" dxfId="14">
      <formula>$E2="-"</formula>
    </cfRule>
  </conditionalFormatting>
  <conditionalFormatting sqref="M2:M112">
    <cfRule type="expression" priority="6" dxfId="17">
      <formula>$M2="SIM"</formula>
    </cfRule>
    <cfRule type="expression" priority="7" dxfId="4">
      <formula>$M2="NAO"</formula>
    </cfRule>
  </conditionalFormatting>
  <conditionalFormatting sqref="N2:N112">
    <cfRule type="expression" priority="8" dxfId="4">
      <formula>$N2&lt;&gt;"OK"</formula>
    </cfRule>
  </conditionalFormatting>
  <conditionalFormatting sqref="P2:P112">
    <cfRule type="expression" priority="8" dxfId="28">
      <formula>P2="Confirmado"</formula>
    </cfRule>
    <cfRule type="expression" priority="9" dxfId="29">
      <formula>P2="Sem resposta"</formula>
    </cfRule>
    <cfRule type="expression" priority="10" dxfId="30">
      <formula>P2="Não volta"</formula>
    </cfRule>
    <cfRule type="expression" priority="11" dxfId="31">
      <formula>P2="VAGO"</formula>
    </cfRule>
  </conditionalFormatting>
  <dataValidations count="1">
    <dataValidation sqref="E2:E112" showDropDown="0" showInputMessage="0" showErrorMessage="0" allowBlank="1" promptTitle="Presença" prompt="SIM = presente · NAO = ausente · 0006/2026 · &quot;-&quot; = sem registro" type="list">
      <formula1>"SIM,NAO,0006/2026,-"</formula1>
      <formula2>0</formula2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62" r:id="rId58"/>
    <hyperlink xmlns:r="http://schemas.openxmlformats.org/officeDocument/2006/relationships" ref="C63" r:id="rId59"/>
    <hyperlink xmlns:r="http://schemas.openxmlformats.org/officeDocument/2006/relationships" ref="C64" r:id="rId60"/>
    <hyperlink xmlns:r="http://schemas.openxmlformats.org/officeDocument/2006/relationships" ref="C65" r:id="rId61"/>
    <hyperlink xmlns:r="http://schemas.openxmlformats.org/officeDocument/2006/relationships" ref="C67" r:id="rId62"/>
    <hyperlink xmlns:r="http://schemas.openxmlformats.org/officeDocument/2006/relationships" ref="C68" r:id="rId63"/>
    <hyperlink xmlns:r="http://schemas.openxmlformats.org/officeDocument/2006/relationships" ref="C69" r:id="rId64"/>
    <hyperlink xmlns:r="http://schemas.openxmlformats.org/officeDocument/2006/relationships" ref="C70" r:id="rId65"/>
    <hyperlink xmlns:r="http://schemas.openxmlformats.org/officeDocument/2006/relationships" ref="C71" r:id="rId66"/>
    <hyperlink xmlns:r="http://schemas.openxmlformats.org/officeDocument/2006/relationships" ref="C72" r:id="rId67"/>
    <hyperlink xmlns:r="http://schemas.openxmlformats.org/officeDocument/2006/relationships" ref="C73" r:id="rId68"/>
    <hyperlink xmlns:r="http://schemas.openxmlformats.org/officeDocument/2006/relationships" ref="C74" r:id="rId69"/>
    <hyperlink xmlns:r="http://schemas.openxmlformats.org/officeDocument/2006/relationships" ref="C75" r:id="rId70"/>
    <hyperlink xmlns:r="http://schemas.openxmlformats.org/officeDocument/2006/relationships" ref="C76" r:id="rId71"/>
    <hyperlink xmlns:r="http://schemas.openxmlformats.org/officeDocument/2006/relationships" ref="C77" r:id="rId72"/>
    <hyperlink xmlns:r="http://schemas.openxmlformats.org/officeDocument/2006/relationships" ref="C78" r:id="rId73"/>
    <hyperlink xmlns:r="http://schemas.openxmlformats.org/officeDocument/2006/relationships" ref="C79" r:id="rId74"/>
    <hyperlink xmlns:r="http://schemas.openxmlformats.org/officeDocument/2006/relationships" ref="C80" r:id="rId75"/>
    <hyperlink xmlns:r="http://schemas.openxmlformats.org/officeDocument/2006/relationships" ref="C82" r:id="rId76"/>
    <hyperlink xmlns:r="http://schemas.openxmlformats.org/officeDocument/2006/relationships" ref="C84" r:id="rId77"/>
    <hyperlink xmlns:r="http://schemas.openxmlformats.org/officeDocument/2006/relationships" ref="C85" r:id="rId78"/>
    <hyperlink xmlns:r="http://schemas.openxmlformats.org/officeDocument/2006/relationships" ref="C86" r:id="rId79"/>
    <hyperlink xmlns:r="http://schemas.openxmlformats.org/officeDocument/2006/relationships" ref="C87" r:id="rId80"/>
    <hyperlink xmlns:r="http://schemas.openxmlformats.org/officeDocument/2006/relationships" ref="C88" r:id="rId81"/>
    <hyperlink xmlns:r="http://schemas.openxmlformats.org/officeDocument/2006/relationships" ref="C89" r:id="rId82"/>
    <hyperlink xmlns:r="http://schemas.openxmlformats.org/officeDocument/2006/relationships" ref="C90" r:id="rId83"/>
    <hyperlink xmlns:r="http://schemas.openxmlformats.org/officeDocument/2006/relationships" ref="C91" r:id="rId84"/>
    <hyperlink xmlns:r="http://schemas.openxmlformats.org/officeDocument/2006/relationships" ref="C92" r:id="rId85"/>
    <hyperlink xmlns:r="http://schemas.openxmlformats.org/officeDocument/2006/relationships" ref="C93" r:id="rId86"/>
    <hyperlink xmlns:r="http://schemas.openxmlformats.org/officeDocument/2006/relationships" ref="C94" r:id="rId87"/>
    <hyperlink xmlns:r="http://schemas.openxmlformats.org/officeDocument/2006/relationships" ref="C95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5" r:id="rId96"/>
    <hyperlink xmlns:r="http://schemas.openxmlformats.org/officeDocument/2006/relationships" ref="C107" r:id="rId97"/>
    <hyperlink xmlns:r="http://schemas.openxmlformats.org/officeDocument/2006/relationships" ref="C108" r:id="rId98"/>
    <hyperlink xmlns:r="http://schemas.openxmlformats.org/officeDocument/2006/relationships" ref="C109" r:id="rId99"/>
    <hyperlink xmlns:r="http://schemas.openxmlformats.org/officeDocument/2006/relationships" ref="C110" r:id="rId100"/>
    <hyperlink xmlns:r="http://schemas.openxmlformats.org/officeDocument/2006/relationships" ref="C111" r:id="rId101"/>
  </hyperlink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38"/>
  <sheetViews>
    <sheetView tabSelected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4" sqref="K4"/>
    </sheetView>
  </sheetViews>
  <sheetFormatPr baseColWidth="8" defaultColWidth="8.7109375" defaultRowHeight="15"/>
  <cols>
    <col width="9" customWidth="1" min="1" max="1"/>
    <col width="12" customWidth="1" min="2" max="5"/>
    <col width="13" customWidth="1" min="6" max="6"/>
    <col width="12" customWidth="1" min="7" max="7"/>
    <col width="14" customWidth="1" min="8" max="8"/>
    <col width="22" customWidth="1" min="9" max="9"/>
    <col width="10" customWidth="1" min="10" max="10"/>
    <col width="40" customWidth="1" min="11" max="11"/>
    <col width="11" customWidth="1" min="12" max="13"/>
    <col width="11.7109375" customWidth="1" min="14" max="14"/>
    <col width="15.85546875" customWidth="1" min="15" max="15"/>
    <col width="14" customWidth="1" min="16" max="16"/>
    <col width="17" customWidth="1" min="17" max="17"/>
    <col width="14" customWidth="1" min="18" max="18"/>
  </cols>
  <sheetData>
    <row r="1" ht="30" customHeight="1">
      <c r="A1" s="21" t="inlineStr">
        <is>
          <t>Seção</t>
        </is>
      </c>
      <c r="B1" s="21" t="inlineStr">
        <is>
          <t>Designados</t>
        </is>
      </c>
      <c r="C1" s="21" t="inlineStr">
        <is>
          <t>Presidente</t>
        </is>
      </c>
      <c r="D1" s="21" t="inlineStr">
        <is>
          <t>1º Mesário</t>
        </is>
      </c>
      <c r="E1" s="21" t="inlineStr">
        <is>
          <t>2º Mesário</t>
        </is>
      </c>
      <c r="F1" s="21" t="inlineStr">
        <is>
          <t>1º Secretário</t>
        </is>
      </c>
      <c r="G1" s="21" t="inlineStr">
        <is>
          <t>Presentes (SIM)</t>
        </is>
      </c>
      <c r="H1" s="21" t="inlineStr">
        <is>
          <t>Ausentes (NAO)</t>
        </is>
      </c>
      <c r="I1" s="21" t="inlineStr">
        <is>
          <t>Outros (sem dado)</t>
        </is>
      </c>
      <c r="J1" s="21" t="inlineStr">
        <is>
          <t>Função vaga</t>
        </is>
      </c>
      <c r="K1" s="22" t="inlineStr">
        <is>
          <t>Alerta</t>
        </is>
      </c>
      <c r="L1" s="21" t="inlineStr">
        <is>
          <t>Seção agregada</t>
        </is>
      </c>
      <c r="M1" s="48" t="inlineStr">
        <is>
          <t>Aptos na urna</t>
        </is>
      </c>
      <c r="N1" s="48" t="inlineStr">
        <is>
          <t>Eleitores esperados</t>
        </is>
      </c>
      <c r="O1" s="48" t="inlineStr">
        <is>
          <t>Faixa</t>
        </is>
      </c>
      <c r="P1" s="49" t="inlineStr">
        <is>
          <t>Aptos (BU)</t>
        </is>
      </c>
      <c r="Q1" s="49" t="inlineStr">
        <is>
          <t>Comparecimento efetivo (BU)</t>
        </is>
      </c>
      <c r="R1" s="49" t="inlineStr">
        <is>
          <t>Faltosos (BU)</t>
        </is>
      </c>
      <c r="S1" s="49" t="inlineStr">
        <is>
          <t>Taxa de comparecimento</t>
        </is>
      </c>
      <c r="T1" s="49" t="inlineStr">
        <is>
          <t>Efetivo − esperado</t>
        </is>
      </c>
      <c r="U1" s="49" t="inlineStr">
        <is>
          <t>Desvio vs esperado</t>
        </is>
      </c>
      <c r="V1" s="49" t="inlineStr">
        <is>
          <t>Posição (efetivo)</t>
        </is>
      </c>
      <c r="W1" s="49" t="inlineStr">
        <is>
          <t>Faixa efetiva</t>
        </is>
      </c>
    </row>
    <row r="2">
      <c r="A2" s="23" t="n">
        <v>511</v>
      </c>
      <c r="B2" s="24">
        <f>COUNTIFS(Mesarios!$A$2:$A$112,$A2)</f>
        <v/>
      </c>
      <c r="C2" s="24">
        <f>IF(COUNTIFS(Mesarios!$A$2:$A$112,$A2,Mesarios!$B$2:$B$112,C$1)&gt;0,"✓","VAGO")</f>
        <v/>
      </c>
      <c r="D2" s="24">
        <f>IF(COUNTIFS(Mesarios!$A$2:$A$112,$A2,Mesarios!$B$2:$B$112,D$1)&gt;0,"✓","VAGO")</f>
        <v/>
      </c>
      <c r="E2" s="24">
        <f>IF(COUNTIFS(Mesarios!$A$2:$A$112,$A2,Mesarios!$B$2:$B$112,E$1)&gt;0,"✓","VAGO")</f>
        <v/>
      </c>
      <c r="F2" s="24">
        <f>IF(COUNTIFS(Mesarios!$A$2:$A$112,$A2,Mesarios!$B$2:$B$112,F$1)&gt;0,"✓","VAGO")</f>
        <v/>
      </c>
      <c r="G2" s="24">
        <f>COUNTIFS(Mesarios!$A$2:$A$112,$A2,Mesarios!$M$2:$M$112,"SIM")</f>
        <v/>
      </c>
      <c r="H2" s="24">
        <f>COUNTIFS(Mesarios!$A$2:$A$112,$A2,Mesarios!$M$2:$M$112,"NAO")</f>
        <v/>
      </c>
      <c r="I2" s="24">
        <f>COUNTIFS(Mesarios!$A$2:$A$112,$A2,Mesarios!$M$2:$M$112,"0006/2026")+COUNTIFS(Mesarios!$A$2:$A$112,$A2,Mesarios!$M$2:$M$112,"-")</f>
        <v/>
      </c>
      <c r="J2" s="24">
        <f>COUNTIF(C2:F2,"VAGO")</f>
        <v/>
      </c>
      <c r="K2" s="25">
        <f>IF(B2&lt;4,"Mesa com "&amp;B2&amp;" designados","")&amp;IF(AND(B2&lt;4,G2&lt;3)," · ","")&amp;IF(G2&lt;3,"Só "&amp;G2&amp;" presentes","")</f>
        <v/>
      </c>
      <c r="L2" s="26" t="n">
        <v>1100</v>
      </c>
      <c r="M2" s="50" t="n">
        <v>582</v>
      </c>
      <c r="N2" s="50" t="n">
        <v>375</v>
      </c>
      <c r="O2" s="51">
        <f>IF(N2&gt;=$N$34,"Alto",IF(N2&gt;=$N$35,"Médio","Baixo"))</f>
        <v/>
      </c>
      <c r="P2" s="50" t="n">
        <v>582</v>
      </c>
      <c r="Q2" s="50" t="n">
        <v>226</v>
      </c>
      <c r="R2" s="52">
        <f>P2-Q2</f>
        <v/>
      </c>
      <c r="S2" s="53">
        <f>Q2/P2</f>
        <v/>
      </c>
      <c r="T2" s="54">
        <f>Q2-N2</f>
        <v/>
      </c>
      <c r="U2" s="55">
        <f>Q2/N2-1</f>
        <v/>
      </c>
      <c r="V2" s="56">
        <f>RANK(Q2,$Q$2:$Q$29)+COUNTIF($Q$2:Q2,Q2)-1</f>
        <v/>
      </c>
      <c r="W2" s="51">
        <f>IF(Q2&gt;=$W$34,"Alto",IF(Q2&gt;=$W$35,"Médio","Baixo"))</f>
        <v/>
      </c>
    </row>
    <row r="3">
      <c r="A3" s="23" t="n">
        <v>512</v>
      </c>
      <c r="B3" s="24">
        <f>COUNTIFS(Mesarios!$A$2:$A$112,$A3)</f>
        <v/>
      </c>
      <c r="C3" s="24">
        <f>IF(COUNTIFS(Mesarios!$A$2:$A$112,$A3,Mesarios!$B$2:$B$112,C$1)&gt;0,"✓","VAGO")</f>
        <v/>
      </c>
      <c r="D3" s="24">
        <f>IF(COUNTIFS(Mesarios!$A$2:$A$112,$A3,Mesarios!$B$2:$B$112,D$1)&gt;0,"✓","VAGO")</f>
        <v/>
      </c>
      <c r="E3" s="24">
        <f>IF(COUNTIFS(Mesarios!$A$2:$A$112,$A3,Mesarios!$B$2:$B$112,E$1)&gt;0,"✓","VAGO")</f>
        <v/>
      </c>
      <c r="F3" s="24">
        <f>IF(COUNTIFS(Mesarios!$A$2:$A$112,$A3,Mesarios!$B$2:$B$112,F$1)&gt;0,"✓","VAGO")</f>
        <v/>
      </c>
      <c r="G3" s="24">
        <f>COUNTIFS(Mesarios!$A$2:$A$112,$A3,Mesarios!$M$2:$M$112,"SIM")</f>
        <v/>
      </c>
      <c r="H3" s="24">
        <f>COUNTIFS(Mesarios!$A$2:$A$112,$A3,Mesarios!$M$2:$M$112,"NAO")</f>
        <v/>
      </c>
      <c r="I3" s="24">
        <f>COUNTIFS(Mesarios!$A$2:$A$112,$A3,Mesarios!$M$2:$M$112,"0006/2026")+COUNTIFS(Mesarios!$A$2:$A$112,$A3,Mesarios!$M$2:$M$112,"-")</f>
        <v/>
      </c>
      <c r="J3" s="24">
        <f>COUNTIF(C3:F3,"VAGO")</f>
        <v/>
      </c>
      <c r="K3" s="25">
        <f>IF(B3&lt;4,"Mesa com "&amp;B3&amp;" designados","")&amp;IF(AND(B3&lt;4,G3&lt;3)," · ","")&amp;IF(G3&lt;3,"Só "&amp;G3&amp;" presentes","")</f>
        <v/>
      </c>
      <c r="L3" s="26" t="n">
        <v>2855</v>
      </c>
      <c r="M3" s="50" t="n">
        <v>476</v>
      </c>
      <c r="N3" s="50" t="n">
        <v>355</v>
      </c>
      <c r="O3" s="51">
        <f>IF(N3&gt;=$N$34,"Alto",IF(N3&gt;=$N$35,"Médio","Baixo"))</f>
        <v/>
      </c>
      <c r="P3" s="50" t="n">
        <v>476</v>
      </c>
      <c r="Q3" s="50" t="n">
        <v>204</v>
      </c>
      <c r="R3" s="52">
        <f>P3-Q3</f>
        <v/>
      </c>
      <c r="S3" s="53">
        <f>Q3/P3</f>
        <v/>
      </c>
      <c r="T3" s="54">
        <f>Q3-N3</f>
        <v/>
      </c>
      <c r="U3" s="55">
        <f>Q3/N3-1</f>
        <v/>
      </c>
      <c r="V3" s="56">
        <f>RANK(Q3,$Q$2:$Q$29)+COUNTIF($Q$2:Q3,Q3)-1</f>
        <v/>
      </c>
      <c r="W3" s="51">
        <f>IF(Q3&gt;=$W$34,"Alto",IF(Q3&gt;=$W$35,"Médio","Baixo"))</f>
        <v/>
      </c>
    </row>
    <row r="4">
      <c r="A4" s="23" t="n">
        <v>513</v>
      </c>
      <c r="B4" s="24">
        <f>COUNTIFS(Mesarios!$A$2:$A$112,$A4)</f>
        <v/>
      </c>
      <c r="C4" s="24">
        <f>IF(COUNTIFS(Mesarios!$A$2:$A$112,$A4,Mesarios!$B$2:$B$112,C$1)&gt;0,"✓","VAGO")</f>
        <v/>
      </c>
      <c r="D4" s="24">
        <f>IF(COUNTIFS(Mesarios!$A$2:$A$112,$A4,Mesarios!$B$2:$B$112,D$1)&gt;0,"✓","VAGO")</f>
        <v/>
      </c>
      <c r="E4" s="24">
        <f>IF(COUNTIFS(Mesarios!$A$2:$A$112,$A4,Mesarios!$B$2:$B$112,E$1)&gt;0,"✓","VAGO")</f>
        <v/>
      </c>
      <c r="F4" s="24">
        <f>IF(COUNTIFS(Mesarios!$A$2:$A$112,$A4,Mesarios!$B$2:$B$112,F$1)&gt;0,"✓","VAGO")</f>
        <v/>
      </c>
      <c r="G4" s="24">
        <f>COUNTIFS(Mesarios!$A$2:$A$112,$A4,Mesarios!$M$2:$M$112,"SIM")</f>
        <v/>
      </c>
      <c r="H4" s="24">
        <f>COUNTIFS(Mesarios!$A$2:$A$112,$A4,Mesarios!$M$2:$M$112,"NAO")</f>
        <v/>
      </c>
      <c r="I4" s="24">
        <f>COUNTIFS(Mesarios!$A$2:$A$112,$A4,Mesarios!$M$2:$M$112,"0006/2026")+COUNTIFS(Mesarios!$A$2:$A$112,$A4,Mesarios!$M$2:$M$112,"-")</f>
        <v/>
      </c>
      <c r="J4" s="24">
        <f>COUNTIF(C4:F4,"VAGO")</f>
        <v/>
      </c>
      <c r="K4" s="25">
        <f>IF(B4&lt;4,"Mesa com "&amp;B4&amp;" designados","")&amp;IF(AND(B4&lt;4,G4&lt;3)," · ","")&amp;IF(G4&lt;3,"Só "&amp;G4&amp;" presentes","")</f>
        <v/>
      </c>
      <c r="L4" s="26" t="n">
        <v>1105</v>
      </c>
      <c r="M4" s="50" t="n">
        <v>502</v>
      </c>
      <c r="N4" s="50" t="n">
        <v>351</v>
      </c>
      <c r="O4" s="51">
        <f>IF(N4&gt;=$N$34,"Alto",IF(N4&gt;=$N$35,"Médio","Baixo"))</f>
        <v/>
      </c>
      <c r="P4" s="50" t="n">
        <v>501</v>
      </c>
      <c r="Q4" s="50" t="n">
        <v>190</v>
      </c>
      <c r="R4" s="52">
        <f>P4-Q4</f>
        <v/>
      </c>
      <c r="S4" s="53">
        <f>Q4/P4</f>
        <v/>
      </c>
      <c r="T4" s="54">
        <f>Q4-N4</f>
        <v/>
      </c>
      <c r="U4" s="55">
        <f>Q4/N4-1</f>
        <v/>
      </c>
      <c r="V4" s="56">
        <f>RANK(Q4,$Q$2:$Q$29)+COUNTIF($Q$2:Q4,Q4)-1</f>
        <v/>
      </c>
      <c r="W4" s="51">
        <f>IF(Q4&gt;=$W$34,"Alto",IF(Q4&gt;=$W$35,"Médio","Baixo"))</f>
        <v/>
      </c>
    </row>
    <row r="5">
      <c r="A5" s="23" t="n">
        <v>517</v>
      </c>
      <c r="B5" s="24">
        <f>COUNTIFS(Mesarios!$A$2:$A$112,$A5)</f>
        <v/>
      </c>
      <c r="C5" s="24">
        <f>IF(COUNTIFS(Mesarios!$A$2:$A$112,$A5,Mesarios!$B$2:$B$112,C$1)&gt;0,"✓","VAGO")</f>
        <v/>
      </c>
      <c r="D5" s="24">
        <f>IF(COUNTIFS(Mesarios!$A$2:$A$112,$A5,Mesarios!$B$2:$B$112,D$1)&gt;0,"✓","VAGO")</f>
        <v/>
      </c>
      <c r="E5" s="24">
        <f>IF(COUNTIFS(Mesarios!$A$2:$A$112,$A5,Mesarios!$B$2:$B$112,E$1)&gt;0,"✓","VAGO")</f>
        <v/>
      </c>
      <c r="F5" s="24">
        <f>IF(COUNTIFS(Mesarios!$A$2:$A$112,$A5,Mesarios!$B$2:$B$112,F$1)&gt;0,"✓","VAGO")</f>
        <v/>
      </c>
      <c r="G5" s="24">
        <f>COUNTIFS(Mesarios!$A$2:$A$112,$A5,Mesarios!$M$2:$M$112,"SIM")</f>
        <v/>
      </c>
      <c r="H5" s="24">
        <f>COUNTIFS(Mesarios!$A$2:$A$112,$A5,Mesarios!$M$2:$M$112,"NAO")</f>
        <v/>
      </c>
      <c r="I5" s="24">
        <f>COUNTIFS(Mesarios!$A$2:$A$112,$A5,Mesarios!$M$2:$M$112,"0006/2026")+COUNTIFS(Mesarios!$A$2:$A$112,$A5,Mesarios!$M$2:$M$112,"-")</f>
        <v/>
      </c>
      <c r="J5" s="24">
        <f>COUNTIF(C5:F5,"VAGO")</f>
        <v/>
      </c>
      <c r="K5" s="25">
        <f>IF(B5&lt;4,"Mesa com "&amp;B5&amp;" designados","")&amp;IF(AND(B5&lt;4,G5&lt;3)," · ","")&amp;IF(G5&lt;3,"Só "&amp;G5&amp;" presentes","")</f>
        <v/>
      </c>
      <c r="L5" s="26" t="n">
        <v>1292</v>
      </c>
      <c r="M5" s="50" t="n">
        <v>513</v>
      </c>
      <c r="N5" s="50" t="n">
        <v>348</v>
      </c>
      <c r="O5" s="51">
        <f>IF(N5&gt;=$N$34,"Alto",IF(N5&gt;=$N$35,"Médio","Baixo"))</f>
        <v/>
      </c>
      <c r="P5" s="50" t="n">
        <v>512</v>
      </c>
      <c r="Q5" s="50" t="n">
        <v>220</v>
      </c>
      <c r="R5" s="52">
        <f>P5-Q5</f>
        <v/>
      </c>
      <c r="S5" s="53">
        <f>Q5/P5</f>
        <v/>
      </c>
      <c r="T5" s="54">
        <f>Q5-N5</f>
        <v/>
      </c>
      <c r="U5" s="55">
        <f>Q5/N5-1</f>
        <v/>
      </c>
      <c r="V5" s="56">
        <f>RANK(Q5,$Q$2:$Q$29)+COUNTIF($Q$2:Q5,Q5)-1</f>
        <v/>
      </c>
      <c r="W5" s="51">
        <f>IF(Q5&gt;=$W$34,"Alto",IF(Q5&gt;=$W$35,"Médio","Baixo"))</f>
        <v/>
      </c>
    </row>
    <row r="6">
      <c r="A6" s="23" t="n">
        <v>1160</v>
      </c>
      <c r="B6" s="24">
        <f>COUNTIFS(Mesarios!$A$2:$A$112,$A6)</f>
        <v/>
      </c>
      <c r="C6" s="24">
        <f>IF(COUNTIFS(Mesarios!$A$2:$A$112,$A6,Mesarios!$B$2:$B$112,C$1)&gt;0,"✓","VAGO")</f>
        <v/>
      </c>
      <c r="D6" s="24">
        <f>IF(COUNTIFS(Mesarios!$A$2:$A$112,$A6,Mesarios!$B$2:$B$112,D$1)&gt;0,"✓","VAGO")</f>
        <v/>
      </c>
      <c r="E6" s="24">
        <f>IF(COUNTIFS(Mesarios!$A$2:$A$112,$A6,Mesarios!$B$2:$B$112,E$1)&gt;0,"✓","VAGO")</f>
        <v/>
      </c>
      <c r="F6" s="24">
        <f>IF(COUNTIFS(Mesarios!$A$2:$A$112,$A6,Mesarios!$B$2:$B$112,F$1)&gt;0,"✓","VAGO")</f>
        <v/>
      </c>
      <c r="G6" s="24">
        <f>COUNTIFS(Mesarios!$A$2:$A$112,$A6,Mesarios!$M$2:$M$112,"SIM")</f>
        <v/>
      </c>
      <c r="H6" s="24">
        <f>COUNTIFS(Mesarios!$A$2:$A$112,$A6,Mesarios!$M$2:$M$112,"NAO")</f>
        <v/>
      </c>
      <c r="I6" s="24">
        <f>COUNTIFS(Mesarios!$A$2:$A$112,$A6,Mesarios!$M$2:$M$112,"0006/2026")+COUNTIFS(Mesarios!$A$2:$A$112,$A6,Mesarios!$M$2:$M$112,"-")</f>
        <v/>
      </c>
      <c r="J6" s="24">
        <f>COUNTIF(C6:F6,"VAGO")</f>
        <v/>
      </c>
      <c r="K6" s="25">
        <f>IF(B6&lt;4,"Mesa com "&amp;B6&amp;" designados","")&amp;IF(AND(B6&lt;4,G6&lt;3)," · ","")&amp;IF(G6&lt;3,"Só "&amp;G6&amp;" presentes","")</f>
        <v/>
      </c>
      <c r="L6" s="26" t="n">
        <v>3845</v>
      </c>
      <c r="M6" s="50" t="n">
        <v>473</v>
      </c>
      <c r="N6" s="50" t="n">
        <v>328</v>
      </c>
      <c r="O6" s="51">
        <f>IF(N6&gt;=$N$34,"Alto",IF(N6&gt;=$N$35,"Médio","Baixo"))</f>
        <v/>
      </c>
      <c r="P6" s="50" t="n">
        <v>472</v>
      </c>
      <c r="Q6" s="50" t="n">
        <v>239</v>
      </c>
      <c r="R6" s="52">
        <f>P6-Q6</f>
        <v/>
      </c>
      <c r="S6" s="53">
        <f>Q6/P6</f>
        <v/>
      </c>
      <c r="T6" s="54">
        <f>Q6-N6</f>
        <v/>
      </c>
      <c r="U6" s="55">
        <f>Q6/N6-1</f>
        <v/>
      </c>
      <c r="V6" s="56">
        <f>RANK(Q6,$Q$2:$Q$29)+COUNTIF($Q$2:Q6,Q6)-1</f>
        <v/>
      </c>
      <c r="W6" s="51">
        <f>IF(Q6&gt;=$W$34,"Alto",IF(Q6&gt;=$W$35,"Médio","Baixo"))</f>
        <v/>
      </c>
    </row>
    <row r="7">
      <c r="A7" s="23" t="n">
        <v>1352</v>
      </c>
      <c r="B7" s="24">
        <f>COUNTIFS(Mesarios!$A$2:$A$112,$A7)</f>
        <v/>
      </c>
      <c r="C7" s="24">
        <f>IF(COUNTIFS(Mesarios!$A$2:$A$112,$A7,Mesarios!$B$2:$B$112,C$1)&gt;0,"✓","VAGO")</f>
        <v/>
      </c>
      <c r="D7" s="24">
        <f>IF(COUNTIFS(Mesarios!$A$2:$A$112,$A7,Mesarios!$B$2:$B$112,D$1)&gt;0,"✓","VAGO")</f>
        <v/>
      </c>
      <c r="E7" s="24">
        <f>IF(COUNTIFS(Mesarios!$A$2:$A$112,$A7,Mesarios!$B$2:$B$112,E$1)&gt;0,"✓","VAGO")</f>
        <v/>
      </c>
      <c r="F7" s="24">
        <f>IF(COUNTIFS(Mesarios!$A$2:$A$112,$A7,Mesarios!$B$2:$B$112,F$1)&gt;0,"✓","VAGO")</f>
        <v/>
      </c>
      <c r="G7" s="24">
        <f>COUNTIFS(Mesarios!$A$2:$A$112,$A7,Mesarios!$M$2:$M$112,"SIM")</f>
        <v/>
      </c>
      <c r="H7" s="24">
        <f>COUNTIFS(Mesarios!$A$2:$A$112,$A7,Mesarios!$M$2:$M$112,"NAO")</f>
        <v/>
      </c>
      <c r="I7" s="24">
        <f>COUNTIFS(Mesarios!$A$2:$A$112,$A7,Mesarios!$M$2:$M$112,"0006/2026")+COUNTIFS(Mesarios!$A$2:$A$112,$A7,Mesarios!$M$2:$M$112,"-")</f>
        <v/>
      </c>
      <c r="J7" s="24">
        <f>COUNTIF(C7:F7,"VAGO")</f>
        <v/>
      </c>
      <c r="K7" s="25">
        <f>IF(B7&lt;4,"Mesa com "&amp;B7&amp;" designados","")&amp;IF(AND(B7&lt;4,G7&lt;3)," · ","")&amp;IF(G7&lt;3,"Só "&amp;G7&amp;" presentes","")</f>
        <v/>
      </c>
      <c r="L7" s="26" t="n">
        <v>522</v>
      </c>
      <c r="M7" s="50" t="n">
        <v>462</v>
      </c>
      <c r="N7" s="50" t="n">
        <v>328</v>
      </c>
      <c r="O7" s="51">
        <f>IF(N7&gt;=$N$34,"Alto",IF(N7&gt;=$N$35,"Médio","Baixo"))</f>
        <v/>
      </c>
      <c r="P7" s="50" t="n">
        <v>462</v>
      </c>
      <c r="Q7" s="50" t="n">
        <v>203</v>
      </c>
      <c r="R7" s="52">
        <f>P7-Q7</f>
        <v/>
      </c>
      <c r="S7" s="53">
        <f>Q7/P7</f>
        <v/>
      </c>
      <c r="T7" s="54">
        <f>Q7-N7</f>
        <v/>
      </c>
      <c r="U7" s="55">
        <f>Q7/N7-1</f>
        <v/>
      </c>
      <c r="V7" s="56">
        <f>RANK(Q7,$Q$2:$Q$29)+COUNTIF($Q$2:Q7,Q7)-1</f>
        <v/>
      </c>
      <c r="W7" s="51">
        <f>IF(Q7&gt;=$W$34,"Alto",IF(Q7&gt;=$W$35,"Médio","Baixo"))</f>
        <v/>
      </c>
    </row>
    <row r="8">
      <c r="A8" s="23" t="n">
        <v>3054</v>
      </c>
      <c r="B8" s="24">
        <f>COUNTIFS(Mesarios!$A$2:$A$112,$A8)</f>
        <v/>
      </c>
      <c r="C8" s="24">
        <f>IF(COUNTIFS(Mesarios!$A$2:$A$112,$A8,Mesarios!$B$2:$B$112,C$1)&gt;0,"✓","VAGO")</f>
        <v/>
      </c>
      <c r="D8" s="24">
        <f>IF(COUNTIFS(Mesarios!$A$2:$A$112,$A8,Mesarios!$B$2:$B$112,D$1)&gt;0,"✓","VAGO")</f>
        <v/>
      </c>
      <c r="E8" s="24">
        <f>IF(COUNTIFS(Mesarios!$A$2:$A$112,$A8,Mesarios!$B$2:$B$112,E$1)&gt;0,"✓","VAGO")</f>
        <v/>
      </c>
      <c r="F8" s="24">
        <f>IF(COUNTIFS(Mesarios!$A$2:$A$112,$A8,Mesarios!$B$2:$B$112,F$1)&gt;0,"✓","VAGO")</f>
        <v/>
      </c>
      <c r="G8" s="24">
        <f>COUNTIFS(Mesarios!$A$2:$A$112,$A8,Mesarios!$M$2:$M$112,"SIM")</f>
        <v/>
      </c>
      <c r="H8" s="24">
        <f>COUNTIFS(Mesarios!$A$2:$A$112,$A8,Mesarios!$M$2:$M$112,"NAO")</f>
        <v/>
      </c>
      <c r="I8" s="24">
        <f>COUNTIFS(Mesarios!$A$2:$A$112,$A8,Mesarios!$M$2:$M$112,"0006/2026")+COUNTIFS(Mesarios!$A$2:$A$112,$A8,Mesarios!$M$2:$M$112,"-")</f>
        <v/>
      </c>
      <c r="J8" s="24">
        <f>COUNTIF(C8:F8,"VAGO")</f>
        <v/>
      </c>
      <c r="K8" s="25">
        <f>IF(B8&lt;4,"Mesa com "&amp;B8&amp;" designados","")&amp;IF(AND(B8&lt;4,G8&lt;3)," · ","")&amp;IF(G8&lt;3,"Só "&amp;G8&amp;" presentes","")</f>
        <v/>
      </c>
      <c r="L8" s="26" t="n">
        <v>1099</v>
      </c>
      <c r="M8" s="50" t="n">
        <v>454</v>
      </c>
      <c r="N8" s="50" t="n">
        <v>325</v>
      </c>
      <c r="O8" s="51">
        <f>IF(N8&gt;=$N$34,"Alto",IF(N8&gt;=$N$35,"Médio","Baixo"))</f>
        <v/>
      </c>
      <c r="P8" s="50" t="n">
        <v>452</v>
      </c>
      <c r="Q8" s="50" t="n">
        <v>256</v>
      </c>
      <c r="R8" s="52">
        <f>P8-Q8</f>
        <v/>
      </c>
      <c r="S8" s="53">
        <f>Q8/P8</f>
        <v/>
      </c>
      <c r="T8" s="54">
        <f>Q8-N8</f>
        <v/>
      </c>
      <c r="U8" s="55">
        <f>Q8/N8-1</f>
        <v/>
      </c>
      <c r="V8" s="56">
        <f>RANK(Q8,$Q$2:$Q$29)+COUNTIF($Q$2:Q8,Q8)-1</f>
        <v/>
      </c>
      <c r="W8" s="51">
        <f>IF(Q8&gt;=$W$34,"Alto",IF(Q8&gt;=$W$35,"Médio","Baixo"))</f>
        <v/>
      </c>
    </row>
    <row r="9">
      <c r="A9" s="23" t="n">
        <v>3078</v>
      </c>
      <c r="B9" s="24">
        <f>COUNTIFS(Mesarios!$A$2:$A$112,$A9)</f>
        <v/>
      </c>
      <c r="C9" s="24">
        <f>IF(COUNTIFS(Mesarios!$A$2:$A$112,$A9,Mesarios!$B$2:$B$112,C$1)&gt;0,"✓","VAGO")</f>
        <v/>
      </c>
      <c r="D9" s="24">
        <f>IF(COUNTIFS(Mesarios!$A$2:$A$112,$A9,Mesarios!$B$2:$B$112,D$1)&gt;0,"✓","VAGO")</f>
        <v/>
      </c>
      <c r="E9" s="24">
        <f>IF(COUNTIFS(Mesarios!$A$2:$A$112,$A9,Mesarios!$B$2:$B$112,E$1)&gt;0,"✓","VAGO")</f>
        <v/>
      </c>
      <c r="F9" s="24">
        <f>IF(COUNTIFS(Mesarios!$A$2:$A$112,$A9,Mesarios!$B$2:$B$112,F$1)&gt;0,"✓","VAGO")</f>
        <v/>
      </c>
      <c r="G9" s="24">
        <f>COUNTIFS(Mesarios!$A$2:$A$112,$A9,Mesarios!$M$2:$M$112,"SIM")</f>
        <v/>
      </c>
      <c r="H9" s="24">
        <f>COUNTIFS(Mesarios!$A$2:$A$112,$A9,Mesarios!$M$2:$M$112,"NAO")</f>
        <v/>
      </c>
      <c r="I9" s="24">
        <f>COUNTIFS(Mesarios!$A$2:$A$112,$A9,Mesarios!$M$2:$M$112,"0006/2026")+COUNTIFS(Mesarios!$A$2:$A$112,$A9,Mesarios!$M$2:$M$112,"-")</f>
        <v/>
      </c>
      <c r="J9" s="24">
        <f>COUNTIF(C9:F9,"VAGO")</f>
        <v/>
      </c>
      <c r="K9" s="25">
        <f>IF(B9&lt;4,"Mesa com "&amp;B9&amp;" designados","")&amp;IF(AND(B9&lt;4,G9&lt;3)," · ","")&amp;IF(G9&lt;3,"Só "&amp;G9&amp;" presentes","")</f>
        <v/>
      </c>
      <c r="L9" s="26" t="n">
        <v>2847</v>
      </c>
      <c r="M9" s="50" t="n">
        <v>429</v>
      </c>
      <c r="N9" s="50" t="n">
        <v>311</v>
      </c>
      <c r="O9" s="51">
        <f>IF(N9&gt;=$N$34,"Alto",IF(N9&gt;=$N$35,"Médio","Baixo"))</f>
        <v/>
      </c>
      <c r="P9" s="50" t="n">
        <v>427</v>
      </c>
      <c r="Q9" s="50" t="n">
        <v>259</v>
      </c>
      <c r="R9" s="52">
        <f>P9-Q9</f>
        <v/>
      </c>
      <c r="S9" s="53">
        <f>Q9/P9</f>
        <v/>
      </c>
      <c r="T9" s="54">
        <f>Q9-N9</f>
        <v/>
      </c>
      <c r="U9" s="55">
        <f>Q9/N9-1</f>
        <v/>
      </c>
      <c r="V9" s="56">
        <f>RANK(Q9,$Q$2:$Q$29)+COUNTIF($Q$2:Q9,Q9)-1</f>
        <v/>
      </c>
      <c r="W9" s="51">
        <f>IF(Q9&gt;=$W$34,"Alto",IF(Q9&gt;=$W$35,"Médio","Baixo"))</f>
        <v/>
      </c>
    </row>
    <row r="10">
      <c r="A10" s="23" t="n">
        <v>3108</v>
      </c>
      <c r="B10" s="24">
        <f>COUNTIFS(Mesarios!$A$2:$A$112,$A10)</f>
        <v/>
      </c>
      <c r="C10" s="24">
        <f>IF(COUNTIFS(Mesarios!$A$2:$A$112,$A10,Mesarios!$B$2:$B$112,C$1)&gt;0,"✓","VAGO")</f>
        <v/>
      </c>
      <c r="D10" s="24">
        <f>IF(COUNTIFS(Mesarios!$A$2:$A$112,$A10,Mesarios!$B$2:$B$112,D$1)&gt;0,"✓","VAGO")</f>
        <v/>
      </c>
      <c r="E10" s="24">
        <f>IF(COUNTIFS(Mesarios!$A$2:$A$112,$A10,Mesarios!$B$2:$B$112,E$1)&gt;0,"✓","VAGO")</f>
        <v/>
      </c>
      <c r="F10" s="24">
        <f>IF(COUNTIFS(Mesarios!$A$2:$A$112,$A10,Mesarios!$B$2:$B$112,F$1)&gt;0,"✓","VAGO")</f>
        <v/>
      </c>
      <c r="G10" s="24">
        <f>COUNTIFS(Mesarios!$A$2:$A$112,$A10,Mesarios!$M$2:$M$112,"SIM")</f>
        <v/>
      </c>
      <c r="H10" s="24">
        <f>COUNTIFS(Mesarios!$A$2:$A$112,$A10,Mesarios!$M$2:$M$112,"NAO")</f>
        <v/>
      </c>
      <c r="I10" s="24">
        <f>COUNTIFS(Mesarios!$A$2:$A$112,$A10,Mesarios!$M$2:$M$112,"0006/2026")+COUNTIFS(Mesarios!$A$2:$A$112,$A10,Mesarios!$M$2:$M$112,"-")</f>
        <v/>
      </c>
      <c r="J10" s="24">
        <f>COUNTIF(C10:F10,"VAGO")</f>
        <v/>
      </c>
      <c r="K10" s="25">
        <f>IF(B10&lt;4,"Mesa com "&amp;B10&amp;" designados","")&amp;IF(AND(B10&lt;4,G10&lt;3)," · ","")&amp;IF(G10&lt;3,"Só "&amp;G10&amp;" presentes","")</f>
        <v/>
      </c>
      <c r="L10" s="26" t="n">
        <v>3422</v>
      </c>
      <c r="M10" s="50" t="n">
        <v>756</v>
      </c>
      <c r="N10" s="50" t="n">
        <v>467</v>
      </c>
      <c r="O10" s="51">
        <f>IF(N10&gt;=$N$34,"Alto",IF(N10&gt;=$N$35,"Médio","Baixo"))</f>
        <v/>
      </c>
      <c r="P10" s="50" t="n">
        <v>752</v>
      </c>
      <c r="Q10" s="50" t="n">
        <v>320</v>
      </c>
      <c r="R10" s="52">
        <f>P10-Q10</f>
        <v/>
      </c>
      <c r="S10" s="53">
        <f>Q10/P10</f>
        <v/>
      </c>
      <c r="T10" s="54">
        <f>Q10-N10</f>
        <v/>
      </c>
      <c r="U10" s="55">
        <f>Q10/N10-1</f>
        <v/>
      </c>
      <c r="V10" s="56">
        <f>RANK(Q10,$Q$2:$Q$29)+COUNTIF($Q$2:Q10,Q10)-1</f>
        <v/>
      </c>
      <c r="W10" s="51">
        <f>IF(Q10&gt;=$W$34,"Alto",IF(Q10&gt;=$W$35,"Médio","Baixo"))</f>
        <v/>
      </c>
    </row>
    <row r="11">
      <c r="A11" s="23" t="n">
        <v>3142</v>
      </c>
      <c r="B11" s="24">
        <f>COUNTIFS(Mesarios!$A$2:$A$112,$A11)</f>
        <v/>
      </c>
      <c r="C11" s="24">
        <f>IF(COUNTIFS(Mesarios!$A$2:$A$112,$A11,Mesarios!$B$2:$B$112,C$1)&gt;0,"✓","VAGO")</f>
        <v/>
      </c>
      <c r="D11" s="24">
        <f>IF(COUNTIFS(Mesarios!$A$2:$A$112,$A11,Mesarios!$B$2:$B$112,D$1)&gt;0,"✓","VAGO")</f>
        <v/>
      </c>
      <c r="E11" s="24">
        <f>IF(COUNTIFS(Mesarios!$A$2:$A$112,$A11,Mesarios!$B$2:$B$112,E$1)&gt;0,"✓","VAGO")</f>
        <v/>
      </c>
      <c r="F11" s="24">
        <f>IF(COUNTIFS(Mesarios!$A$2:$A$112,$A11,Mesarios!$B$2:$B$112,F$1)&gt;0,"✓","VAGO")</f>
        <v/>
      </c>
      <c r="G11" s="24">
        <f>COUNTIFS(Mesarios!$A$2:$A$112,$A11,Mesarios!$M$2:$M$112,"SIM")</f>
        <v/>
      </c>
      <c r="H11" s="24">
        <f>COUNTIFS(Mesarios!$A$2:$A$112,$A11,Mesarios!$M$2:$M$112,"NAO")</f>
        <v/>
      </c>
      <c r="I11" s="24">
        <f>COUNTIFS(Mesarios!$A$2:$A$112,$A11,Mesarios!$M$2:$M$112,"0006/2026")+COUNTIFS(Mesarios!$A$2:$A$112,$A11,Mesarios!$M$2:$M$112,"-")</f>
        <v/>
      </c>
      <c r="J11" s="24">
        <f>COUNTIF(C11:F11,"VAGO")</f>
        <v/>
      </c>
      <c r="K11" s="25">
        <f>IF(B11&lt;4,"Mesa com "&amp;B11&amp;" designados","")&amp;IF(AND(B11&lt;4,G11&lt;3)," · ","")&amp;IF(G11&lt;3,"Só "&amp;G11&amp;" presentes","")</f>
        <v/>
      </c>
      <c r="L11" s="26" t="n">
        <v>1278</v>
      </c>
      <c r="M11" s="50" t="n">
        <v>793</v>
      </c>
      <c r="N11" s="50" t="n">
        <v>466</v>
      </c>
      <c r="O11" s="51">
        <f>IF(N11&gt;=$N$34,"Alto",IF(N11&gt;=$N$35,"Médio","Baixo"))</f>
        <v/>
      </c>
      <c r="P11" s="50" t="n">
        <v>787</v>
      </c>
      <c r="Q11" s="50" t="n">
        <v>318</v>
      </c>
      <c r="R11" s="52">
        <f>P11-Q11</f>
        <v/>
      </c>
      <c r="S11" s="53">
        <f>Q11/P11</f>
        <v/>
      </c>
      <c r="T11" s="54">
        <f>Q11-N11</f>
        <v/>
      </c>
      <c r="U11" s="55">
        <f>Q11/N11-1</f>
        <v/>
      </c>
      <c r="V11" s="56">
        <f>RANK(Q11,$Q$2:$Q$29)+COUNTIF($Q$2:Q11,Q11)-1</f>
        <v/>
      </c>
      <c r="W11" s="51">
        <f>IF(Q11&gt;=$W$34,"Alto",IF(Q11&gt;=$W$35,"Médio","Baixo"))</f>
        <v/>
      </c>
    </row>
    <row r="12">
      <c r="A12" s="23" t="n">
        <v>3161</v>
      </c>
      <c r="B12" s="24">
        <f>COUNTIFS(Mesarios!$A$2:$A$112,$A12)</f>
        <v/>
      </c>
      <c r="C12" s="24">
        <f>IF(COUNTIFS(Mesarios!$A$2:$A$112,$A12,Mesarios!$B$2:$B$112,C$1)&gt;0,"✓","VAGO")</f>
        <v/>
      </c>
      <c r="D12" s="24">
        <f>IF(COUNTIFS(Mesarios!$A$2:$A$112,$A12,Mesarios!$B$2:$B$112,D$1)&gt;0,"✓","VAGO")</f>
        <v/>
      </c>
      <c r="E12" s="24">
        <f>IF(COUNTIFS(Mesarios!$A$2:$A$112,$A12,Mesarios!$B$2:$B$112,E$1)&gt;0,"✓","VAGO")</f>
        <v/>
      </c>
      <c r="F12" s="24">
        <f>IF(COUNTIFS(Mesarios!$A$2:$A$112,$A12,Mesarios!$B$2:$B$112,F$1)&gt;0,"✓","VAGO")</f>
        <v/>
      </c>
      <c r="G12" s="24">
        <f>COUNTIFS(Mesarios!$A$2:$A$112,$A12,Mesarios!$M$2:$M$112,"SIM")</f>
        <v/>
      </c>
      <c r="H12" s="24">
        <f>COUNTIFS(Mesarios!$A$2:$A$112,$A12,Mesarios!$M$2:$M$112,"NAO")</f>
        <v/>
      </c>
      <c r="I12" s="24">
        <f>COUNTIFS(Mesarios!$A$2:$A$112,$A12,Mesarios!$M$2:$M$112,"0006/2026")+COUNTIFS(Mesarios!$A$2:$A$112,$A12,Mesarios!$M$2:$M$112,"-")</f>
        <v/>
      </c>
      <c r="J12" s="24">
        <f>COUNTIF(C12:F12,"VAGO")</f>
        <v/>
      </c>
      <c r="K12" s="25">
        <f>IF(B12&lt;4,"Mesa com "&amp;B12&amp;" designados","")&amp;IF(AND(B12&lt;4,G12&lt;3)," · ","")&amp;IF(G12&lt;3,"Só "&amp;G12&amp;" presentes","")</f>
        <v/>
      </c>
      <c r="L12" s="26" t="n">
        <v>3307</v>
      </c>
      <c r="M12" s="50" t="n">
        <v>791</v>
      </c>
      <c r="N12" s="50" t="n">
        <v>504</v>
      </c>
      <c r="O12" s="51">
        <f>IF(N12&gt;=$N$34,"Alto",IF(N12&gt;=$N$35,"Médio","Baixo"))</f>
        <v/>
      </c>
      <c r="P12" s="50" t="n">
        <v>787</v>
      </c>
      <c r="Q12" s="50" t="n">
        <v>328</v>
      </c>
      <c r="R12" s="52">
        <f>P12-Q12</f>
        <v/>
      </c>
      <c r="S12" s="53">
        <f>Q12/P12</f>
        <v/>
      </c>
      <c r="T12" s="54">
        <f>Q12-N12</f>
        <v/>
      </c>
      <c r="U12" s="55">
        <f>Q12/N12-1</f>
        <v/>
      </c>
      <c r="V12" s="56">
        <f>RANK(Q12,$Q$2:$Q$29)+COUNTIF($Q$2:Q12,Q12)-1</f>
        <v/>
      </c>
      <c r="W12" s="51">
        <f>IF(Q12&gt;=$W$34,"Alto",IF(Q12&gt;=$W$35,"Médio","Baixo"))</f>
        <v/>
      </c>
    </row>
    <row r="13">
      <c r="A13" s="23" t="n">
        <v>3179</v>
      </c>
      <c r="B13" s="24">
        <f>COUNTIFS(Mesarios!$A$2:$A$112,$A13)</f>
        <v/>
      </c>
      <c r="C13" s="24">
        <f>IF(COUNTIFS(Mesarios!$A$2:$A$112,$A13,Mesarios!$B$2:$B$112,C$1)&gt;0,"✓","VAGO")</f>
        <v/>
      </c>
      <c r="D13" s="24">
        <f>IF(COUNTIFS(Mesarios!$A$2:$A$112,$A13,Mesarios!$B$2:$B$112,D$1)&gt;0,"✓","VAGO")</f>
        <v/>
      </c>
      <c r="E13" s="24">
        <f>IF(COUNTIFS(Mesarios!$A$2:$A$112,$A13,Mesarios!$B$2:$B$112,E$1)&gt;0,"✓","VAGO")</f>
        <v/>
      </c>
      <c r="F13" s="24">
        <f>IF(COUNTIFS(Mesarios!$A$2:$A$112,$A13,Mesarios!$B$2:$B$112,F$1)&gt;0,"✓","VAGO")</f>
        <v/>
      </c>
      <c r="G13" s="24">
        <f>COUNTIFS(Mesarios!$A$2:$A$112,$A13,Mesarios!$M$2:$M$112,"SIM")</f>
        <v/>
      </c>
      <c r="H13" s="24">
        <f>COUNTIFS(Mesarios!$A$2:$A$112,$A13,Mesarios!$M$2:$M$112,"NAO")</f>
        <v/>
      </c>
      <c r="I13" s="24">
        <f>COUNTIFS(Mesarios!$A$2:$A$112,$A13,Mesarios!$M$2:$M$112,"0006/2026")+COUNTIFS(Mesarios!$A$2:$A$112,$A13,Mesarios!$M$2:$M$112,"-")</f>
        <v/>
      </c>
      <c r="J13" s="24">
        <f>COUNTIF(C13:F13,"VAGO")</f>
        <v/>
      </c>
      <c r="K13" s="25">
        <f>IF(B13&lt;4,"Mesa com "&amp;B13&amp;" designados","")&amp;IF(AND(B13&lt;4,G13&lt;3)," · ","")&amp;IF(G13&lt;3,"Só "&amp;G13&amp;" presentes","")</f>
        <v/>
      </c>
      <c r="L13" s="26" t="n">
        <v>530</v>
      </c>
      <c r="M13" s="50" t="n">
        <v>676</v>
      </c>
      <c r="N13" s="50" t="n">
        <v>423</v>
      </c>
      <c r="O13" s="51">
        <f>IF(N13&gt;=$N$34,"Alto",IF(N13&gt;=$N$35,"Médio","Baixo"))</f>
        <v/>
      </c>
      <c r="P13" s="50" t="n">
        <v>670</v>
      </c>
      <c r="Q13" s="50" t="n">
        <v>349</v>
      </c>
      <c r="R13" s="52">
        <f>P13-Q13</f>
        <v/>
      </c>
      <c r="S13" s="53">
        <f>Q13/P13</f>
        <v/>
      </c>
      <c r="T13" s="54">
        <f>Q13-N13</f>
        <v/>
      </c>
      <c r="U13" s="55">
        <f>Q13/N13-1</f>
        <v/>
      </c>
      <c r="V13" s="56">
        <f>RANK(Q13,$Q$2:$Q$29)+COUNTIF($Q$2:Q13,Q13)-1</f>
        <v/>
      </c>
      <c r="W13" s="51">
        <f>IF(Q13&gt;=$W$34,"Alto",IF(Q13&gt;=$W$35,"Médio","Baixo"))</f>
        <v/>
      </c>
    </row>
    <row r="14">
      <c r="A14" s="23" t="n">
        <v>3216</v>
      </c>
      <c r="B14" s="24">
        <f>COUNTIFS(Mesarios!$A$2:$A$112,$A14)</f>
        <v/>
      </c>
      <c r="C14" s="24">
        <f>IF(COUNTIFS(Mesarios!$A$2:$A$112,$A14,Mesarios!$B$2:$B$112,C$1)&gt;0,"✓","VAGO")</f>
        <v/>
      </c>
      <c r="D14" s="24">
        <f>IF(COUNTIFS(Mesarios!$A$2:$A$112,$A14,Mesarios!$B$2:$B$112,D$1)&gt;0,"✓","VAGO")</f>
        <v/>
      </c>
      <c r="E14" s="24">
        <f>IF(COUNTIFS(Mesarios!$A$2:$A$112,$A14,Mesarios!$B$2:$B$112,E$1)&gt;0,"✓","VAGO")</f>
        <v/>
      </c>
      <c r="F14" s="24">
        <f>IF(COUNTIFS(Mesarios!$A$2:$A$112,$A14,Mesarios!$B$2:$B$112,F$1)&gt;0,"✓","VAGO")</f>
        <v/>
      </c>
      <c r="G14" s="24">
        <f>COUNTIFS(Mesarios!$A$2:$A$112,$A14,Mesarios!$M$2:$M$112,"SIM")</f>
        <v/>
      </c>
      <c r="H14" s="24">
        <f>COUNTIFS(Mesarios!$A$2:$A$112,$A14,Mesarios!$M$2:$M$112,"NAO")</f>
        <v/>
      </c>
      <c r="I14" s="24">
        <f>COUNTIFS(Mesarios!$A$2:$A$112,$A14,Mesarios!$M$2:$M$112,"0006/2026")+COUNTIFS(Mesarios!$A$2:$A$112,$A14,Mesarios!$M$2:$M$112,"-")</f>
        <v/>
      </c>
      <c r="J14" s="24">
        <f>COUNTIF(C14:F14,"VAGO")</f>
        <v/>
      </c>
      <c r="K14" s="25">
        <f>IF(B14&lt;4,"Mesa com "&amp;B14&amp;" designados","")&amp;IF(AND(B14&lt;4,G14&lt;3)," · ","")&amp;IF(G14&lt;3,"Só "&amp;G14&amp;" presentes","")</f>
        <v/>
      </c>
      <c r="L14" s="26" t="n">
        <v>527</v>
      </c>
      <c r="M14" s="50" t="n">
        <v>571</v>
      </c>
      <c r="N14" s="50" t="n">
        <v>407</v>
      </c>
      <c r="O14" s="51">
        <f>IF(N14&gt;=$N$34,"Alto",IF(N14&gt;=$N$35,"Médio","Baixo"))</f>
        <v/>
      </c>
      <c r="P14" s="50" t="n">
        <v>568</v>
      </c>
      <c r="Q14" s="50" t="n">
        <v>278</v>
      </c>
      <c r="R14" s="52">
        <f>P14-Q14</f>
        <v/>
      </c>
      <c r="S14" s="53">
        <f>Q14/P14</f>
        <v/>
      </c>
      <c r="T14" s="54">
        <f>Q14-N14</f>
        <v/>
      </c>
      <c r="U14" s="55">
        <f>Q14/N14-1</f>
        <v/>
      </c>
      <c r="V14" s="56">
        <f>RANK(Q14,$Q$2:$Q$29)+COUNTIF($Q$2:Q14,Q14)-1</f>
        <v/>
      </c>
      <c r="W14" s="51">
        <f>IF(Q14&gt;=$W$34,"Alto",IF(Q14&gt;=$W$35,"Médio","Baixo"))</f>
        <v/>
      </c>
    </row>
    <row r="15">
      <c r="A15" s="23" t="n">
        <v>3229</v>
      </c>
      <c r="B15" s="24">
        <f>COUNTIFS(Mesarios!$A$2:$A$112,$A15)</f>
        <v/>
      </c>
      <c r="C15" s="24">
        <f>IF(COUNTIFS(Mesarios!$A$2:$A$112,$A15,Mesarios!$B$2:$B$112,C$1)&gt;0,"✓","VAGO")</f>
        <v/>
      </c>
      <c r="D15" s="24">
        <f>IF(COUNTIFS(Mesarios!$A$2:$A$112,$A15,Mesarios!$B$2:$B$112,D$1)&gt;0,"✓","VAGO")</f>
        <v/>
      </c>
      <c r="E15" s="24">
        <f>IF(COUNTIFS(Mesarios!$A$2:$A$112,$A15,Mesarios!$B$2:$B$112,E$1)&gt;0,"✓","VAGO")</f>
        <v/>
      </c>
      <c r="F15" s="24">
        <f>IF(COUNTIFS(Mesarios!$A$2:$A$112,$A15,Mesarios!$B$2:$B$112,F$1)&gt;0,"✓","VAGO")</f>
        <v/>
      </c>
      <c r="G15" s="24">
        <f>COUNTIFS(Mesarios!$A$2:$A$112,$A15,Mesarios!$M$2:$M$112,"SIM")</f>
        <v/>
      </c>
      <c r="H15" s="24">
        <f>COUNTIFS(Mesarios!$A$2:$A$112,$A15,Mesarios!$M$2:$M$112,"NAO")</f>
        <v/>
      </c>
      <c r="I15" s="24">
        <f>COUNTIFS(Mesarios!$A$2:$A$112,$A15,Mesarios!$M$2:$M$112,"0006/2026")+COUNTIFS(Mesarios!$A$2:$A$112,$A15,Mesarios!$M$2:$M$112,"-")</f>
        <v/>
      </c>
      <c r="J15" s="24">
        <f>COUNTIF(C15:F15,"VAGO")</f>
        <v/>
      </c>
      <c r="K15" s="25">
        <f>IF(B15&lt;4,"Mesa com "&amp;B15&amp;" designados","")&amp;IF(AND(B15&lt;4,G15&lt;3)," · ","")&amp;IF(G15&lt;3,"Só "&amp;G15&amp;" presentes","")</f>
        <v/>
      </c>
      <c r="L15" s="26" t="n">
        <v>3821</v>
      </c>
      <c r="M15" s="50" t="n">
        <v>606</v>
      </c>
      <c r="N15" s="50" t="n">
        <v>405</v>
      </c>
      <c r="O15" s="51">
        <f>IF(N15&gt;=$N$34,"Alto",IF(N15&gt;=$N$35,"Médio","Baixo"))</f>
        <v/>
      </c>
      <c r="P15" s="50" t="n">
        <v>601</v>
      </c>
      <c r="Q15" s="50" t="n">
        <v>318</v>
      </c>
      <c r="R15" s="52">
        <f>P15-Q15</f>
        <v/>
      </c>
      <c r="S15" s="53">
        <f>Q15/P15</f>
        <v/>
      </c>
      <c r="T15" s="54">
        <f>Q15-N15</f>
        <v/>
      </c>
      <c r="U15" s="55">
        <f>Q15/N15-1</f>
        <v/>
      </c>
      <c r="V15" s="56">
        <f>RANK(Q15,$Q$2:$Q$29)+COUNTIF($Q$2:Q15,Q15)-1</f>
        <v/>
      </c>
      <c r="W15" s="51">
        <f>IF(Q15&gt;=$W$34,"Alto",IF(Q15&gt;=$W$35,"Médio","Baixo"))</f>
        <v/>
      </c>
    </row>
    <row r="16">
      <c r="A16" s="23" t="n">
        <v>3245</v>
      </c>
      <c r="B16" s="24">
        <f>COUNTIFS(Mesarios!$A$2:$A$112,$A16)</f>
        <v/>
      </c>
      <c r="C16" s="24">
        <f>IF(COUNTIFS(Mesarios!$A$2:$A$112,$A16,Mesarios!$B$2:$B$112,C$1)&gt;0,"✓","VAGO")</f>
        <v/>
      </c>
      <c r="D16" s="24">
        <f>IF(COUNTIFS(Mesarios!$A$2:$A$112,$A16,Mesarios!$B$2:$B$112,D$1)&gt;0,"✓","VAGO")</f>
        <v/>
      </c>
      <c r="E16" s="24">
        <f>IF(COUNTIFS(Mesarios!$A$2:$A$112,$A16,Mesarios!$B$2:$B$112,E$1)&gt;0,"✓","VAGO")</f>
        <v/>
      </c>
      <c r="F16" s="24">
        <f>IF(COUNTIFS(Mesarios!$A$2:$A$112,$A16,Mesarios!$B$2:$B$112,F$1)&gt;0,"✓","VAGO")</f>
        <v/>
      </c>
      <c r="G16" s="24">
        <f>COUNTIFS(Mesarios!$A$2:$A$112,$A16,Mesarios!$M$2:$M$112,"SIM")</f>
        <v/>
      </c>
      <c r="H16" s="24">
        <f>COUNTIFS(Mesarios!$A$2:$A$112,$A16,Mesarios!$M$2:$M$112,"NAO")</f>
        <v/>
      </c>
      <c r="I16" s="24">
        <f>COUNTIFS(Mesarios!$A$2:$A$112,$A16,Mesarios!$M$2:$M$112,"0006/2026")+COUNTIFS(Mesarios!$A$2:$A$112,$A16,Mesarios!$M$2:$M$112,"-")</f>
        <v/>
      </c>
      <c r="J16" s="24">
        <f>COUNTIF(C16:F16,"VAGO")</f>
        <v/>
      </c>
      <c r="K16" s="25">
        <f>IF(B16&lt;4,"Mesa com "&amp;B16&amp;" designados","")&amp;IF(AND(B16&lt;4,G16&lt;3)," · ","")&amp;IF(G16&lt;3,"Só "&amp;G16&amp;" presentes","")</f>
        <v/>
      </c>
      <c r="L16" s="26" t="n">
        <v>519</v>
      </c>
      <c r="M16" s="50" t="n">
        <v>781</v>
      </c>
      <c r="N16" s="50" t="n">
        <v>498</v>
      </c>
      <c r="O16" s="51">
        <f>IF(N16&gt;=$N$34,"Alto",IF(N16&gt;=$N$35,"Médio","Baixo"))</f>
        <v/>
      </c>
      <c r="P16" s="50" t="n">
        <v>778</v>
      </c>
      <c r="Q16" s="50" t="n">
        <v>322</v>
      </c>
      <c r="R16" s="52">
        <f>P16-Q16</f>
        <v/>
      </c>
      <c r="S16" s="53">
        <f>Q16/P16</f>
        <v/>
      </c>
      <c r="T16" s="54">
        <f>Q16-N16</f>
        <v/>
      </c>
      <c r="U16" s="55">
        <f>Q16/N16-1</f>
        <v/>
      </c>
      <c r="V16" s="56">
        <f>RANK(Q16,$Q$2:$Q$29)+COUNTIF($Q$2:Q16,Q16)-1</f>
        <v/>
      </c>
      <c r="W16" s="51">
        <f>IF(Q16&gt;=$W$34,"Alto",IF(Q16&gt;=$W$35,"Médio","Baixo"))</f>
        <v/>
      </c>
    </row>
    <row r="17">
      <c r="A17" s="23" t="n">
        <v>3302</v>
      </c>
      <c r="B17" s="24">
        <f>COUNTIFS(Mesarios!$A$2:$A$112,$A17)</f>
        <v/>
      </c>
      <c r="C17" s="24">
        <f>IF(COUNTIFS(Mesarios!$A$2:$A$112,$A17,Mesarios!$B$2:$B$112,C$1)&gt;0,"✓","VAGO")</f>
        <v/>
      </c>
      <c r="D17" s="24">
        <f>IF(COUNTIFS(Mesarios!$A$2:$A$112,$A17,Mesarios!$B$2:$B$112,D$1)&gt;0,"✓","VAGO")</f>
        <v/>
      </c>
      <c r="E17" s="24">
        <f>IF(COUNTIFS(Mesarios!$A$2:$A$112,$A17,Mesarios!$B$2:$B$112,E$1)&gt;0,"✓","VAGO")</f>
        <v/>
      </c>
      <c r="F17" s="24">
        <f>IF(COUNTIFS(Mesarios!$A$2:$A$112,$A17,Mesarios!$B$2:$B$112,F$1)&gt;0,"✓","VAGO")</f>
        <v/>
      </c>
      <c r="G17" s="24">
        <f>COUNTIFS(Mesarios!$A$2:$A$112,$A17,Mesarios!$M$2:$M$112,"SIM")</f>
        <v/>
      </c>
      <c r="H17" s="24">
        <f>COUNTIFS(Mesarios!$A$2:$A$112,$A17,Mesarios!$M$2:$M$112,"NAO")</f>
        <v/>
      </c>
      <c r="I17" s="24">
        <f>COUNTIFS(Mesarios!$A$2:$A$112,$A17,Mesarios!$M$2:$M$112,"0006/2026")+COUNTIFS(Mesarios!$A$2:$A$112,$A17,Mesarios!$M$2:$M$112,"-")</f>
        <v/>
      </c>
      <c r="J17" s="24">
        <f>COUNTIF(C17:F17,"VAGO")</f>
        <v/>
      </c>
      <c r="K17" s="25">
        <f>IF(B17&lt;4,"Mesa com "&amp;B17&amp;" designados","")&amp;IF(AND(B17&lt;4,G17&lt;3)," · ","")&amp;IF(G17&lt;3,"Só "&amp;G17&amp;" presentes","")</f>
        <v/>
      </c>
      <c r="L17" s="26" t="n">
        <v>3181</v>
      </c>
      <c r="M17" s="50" t="n">
        <v>771</v>
      </c>
      <c r="N17" s="50" t="n">
        <v>518</v>
      </c>
      <c r="O17" s="51">
        <f>IF(N17&gt;=$N$34,"Alto",IF(N17&gt;=$N$35,"Médio","Baixo"))</f>
        <v/>
      </c>
      <c r="P17" s="50" t="n">
        <v>763</v>
      </c>
      <c r="Q17" s="50" t="n">
        <v>373</v>
      </c>
      <c r="R17" s="52">
        <f>P17-Q17</f>
        <v/>
      </c>
      <c r="S17" s="53">
        <f>Q17/P17</f>
        <v/>
      </c>
      <c r="T17" s="54">
        <f>Q17-N17</f>
        <v/>
      </c>
      <c r="U17" s="55">
        <f>Q17/N17-1</f>
        <v/>
      </c>
      <c r="V17" s="56">
        <f>RANK(Q17,$Q$2:$Q$29)+COUNTIF($Q$2:Q17,Q17)-1</f>
        <v/>
      </c>
      <c r="W17" s="51">
        <f>IF(Q17&gt;=$W$34,"Alto",IF(Q17&gt;=$W$35,"Médio","Baixo"))</f>
        <v/>
      </c>
    </row>
    <row r="18">
      <c r="A18" s="23" t="n">
        <v>3305</v>
      </c>
      <c r="B18" s="24">
        <f>COUNTIFS(Mesarios!$A$2:$A$112,$A18)</f>
        <v/>
      </c>
      <c r="C18" s="24">
        <f>IF(COUNTIFS(Mesarios!$A$2:$A$112,$A18,Mesarios!$B$2:$B$112,C$1)&gt;0,"✓","VAGO")</f>
        <v/>
      </c>
      <c r="D18" s="24">
        <f>IF(COUNTIFS(Mesarios!$A$2:$A$112,$A18,Mesarios!$B$2:$B$112,D$1)&gt;0,"✓","VAGO")</f>
        <v/>
      </c>
      <c r="E18" s="24">
        <f>IF(COUNTIFS(Mesarios!$A$2:$A$112,$A18,Mesarios!$B$2:$B$112,E$1)&gt;0,"✓","VAGO")</f>
        <v/>
      </c>
      <c r="F18" s="24">
        <f>IF(COUNTIFS(Mesarios!$A$2:$A$112,$A18,Mesarios!$B$2:$B$112,F$1)&gt;0,"✓","VAGO")</f>
        <v/>
      </c>
      <c r="G18" s="24">
        <f>COUNTIFS(Mesarios!$A$2:$A$112,$A18,Mesarios!$M$2:$M$112,"SIM")</f>
        <v/>
      </c>
      <c r="H18" s="24">
        <f>COUNTIFS(Mesarios!$A$2:$A$112,$A18,Mesarios!$M$2:$M$112,"NAO")</f>
        <v/>
      </c>
      <c r="I18" s="24">
        <f>COUNTIFS(Mesarios!$A$2:$A$112,$A18,Mesarios!$M$2:$M$112,"0006/2026")+COUNTIFS(Mesarios!$A$2:$A$112,$A18,Mesarios!$M$2:$M$112,"-")</f>
        <v/>
      </c>
      <c r="J18" s="24">
        <f>COUNTIF(C18:F18,"VAGO")</f>
        <v/>
      </c>
      <c r="K18" s="25">
        <f>IF(B18&lt;4,"Mesa com "&amp;B18&amp;" designados","")&amp;IF(AND(B18&lt;4,G18&lt;3)," · ","")&amp;IF(G18&lt;3,"Só "&amp;G18&amp;" presentes","")</f>
        <v/>
      </c>
      <c r="L18" s="26" t="n">
        <v>521</v>
      </c>
      <c r="M18" s="50" t="n">
        <v>767</v>
      </c>
      <c r="N18" s="50" t="n">
        <v>472</v>
      </c>
      <c r="O18" s="51">
        <f>IF(N18&gt;=$N$34,"Alto",IF(N18&gt;=$N$35,"Médio","Baixo"))</f>
        <v/>
      </c>
      <c r="P18" s="50" t="n">
        <v>764</v>
      </c>
      <c r="Q18" s="50" t="n">
        <v>265</v>
      </c>
      <c r="R18" s="52">
        <f>P18-Q18</f>
        <v/>
      </c>
      <c r="S18" s="53">
        <f>Q18/P18</f>
        <v/>
      </c>
      <c r="T18" s="54">
        <f>Q18-N18</f>
        <v/>
      </c>
      <c r="U18" s="55">
        <f>Q18/N18-1</f>
        <v/>
      </c>
      <c r="V18" s="56">
        <f>RANK(Q18,$Q$2:$Q$29)+COUNTIF($Q$2:Q18,Q18)-1</f>
        <v/>
      </c>
      <c r="W18" s="51">
        <f>IF(Q18&gt;=$W$34,"Alto",IF(Q18&gt;=$W$35,"Médio","Baixo"))</f>
        <v/>
      </c>
    </row>
    <row r="19">
      <c r="A19" s="23" t="n">
        <v>3306</v>
      </c>
      <c r="B19" s="24">
        <f>COUNTIFS(Mesarios!$A$2:$A$112,$A19)</f>
        <v/>
      </c>
      <c r="C19" s="24">
        <f>IF(COUNTIFS(Mesarios!$A$2:$A$112,$A19,Mesarios!$B$2:$B$112,C$1)&gt;0,"✓","VAGO")</f>
        <v/>
      </c>
      <c r="D19" s="24">
        <f>IF(COUNTIFS(Mesarios!$A$2:$A$112,$A19,Mesarios!$B$2:$B$112,D$1)&gt;0,"✓","VAGO")</f>
        <v/>
      </c>
      <c r="E19" s="24">
        <f>IF(COUNTIFS(Mesarios!$A$2:$A$112,$A19,Mesarios!$B$2:$B$112,E$1)&gt;0,"✓","VAGO")</f>
        <v/>
      </c>
      <c r="F19" s="24">
        <f>IF(COUNTIFS(Mesarios!$A$2:$A$112,$A19,Mesarios!$B$2:$B$112,F$1)&gt;0,"✓","VAGO")</f>
        <v/>
      </c>
      <c r="G19" s="24">
        <f>COUNTIFS(Mesarios!$A$2:$A$112,$A19,Mesarios!$M$2:$M$112,"SIM")</f>
        <v/>
      </c>
      <c r="H19" s="24">
        <f>COUNTIFS(Mesarios!$A$2:$A$112,$A19,Mesarios!$M$2:$M$112,"NAO")</f>
        <v/>
      </c>
      <c r="I19" s="24">
        <f>COUNTIFS(Mesarios!$A$2:$A$112,$A19,Mesarios!$M$2:$M$112,"0006/2026")+COUNTIFS(Mesarios!$A$2:$A$112,$A19,Mesarios!$M$2:$M$112,"-")</f>
        <v/>
      </c>
      <c r="J19" s="24">
        <f>COUNTIF(C19:F19,"VAGO")</f>
        <v/>
      </c>
      <c r="K19" s="25">
        <f>IF(B19&lt;4,"Mesa com "&amp;B19&amp;" designados","")&amp;IF(AND(B19&lt;4,G19&lt;3)," · ","")&amp;IF(G19&lt;3,"Só "&amp;G19&amp;" presentes","")</f>
        <v/>
      </c>
      <c r="L19" s="26" t="n">
        <v>518</v>
      </c>
      <c r="M19" s="50" t="n">
        <v>766</v>
      </c>
      <c r="N19" s="50" t="n">
        <v>515</v>
      </c>
      <c r="O19" s="51">
        <f>IF(N19&gt;=$N$34,"Alto",IF(N19&gt;=$N$35,"Médio","Baixo"))</f>
        <v/>
      </c>
      <c r="P19" s="50" t="n">
        <v>761</v>
      </c>
      <c r="Q19" s="50" t="n">
        <v>345</v>
      </c>
      <c r="R19" s="52">
        <f>P19-Q19</f>
        <v/>
      </c>
      <c r="S19" s="53">
        <f>Q19/P19</f>
        <v/>
      </c>
      <c r="T19" s="54">
        <f>Q19-N19</f>
        <v/>
      </c>
      <c r="U19" s="55">
        <f>Q19/N19-1</f>
        <v/>
      </c>
      <c r="V19" s="56">
        <f>RANK(Q19,$Q$2:$Q$29)+COUNTIF($Q$2:Q19,Q19)-1</f>
        <v/>
      </c>
      <c r="W19" s="51">
        <f>IF(Q19&gt;=$W$34,"Alto",IF(Q19&gt;=$W$35,"Médio","Baixo"))</f>
        <v/>
      </c>
    </row>
    <row r="20">
      <c r="A20" s="23" t="n">
        <v>3308</v>
      </c>
      <c r="B20" s="24">
        <f>COUNTIFS(Mesarios!$A$2:$A$112,$A20)</f>
        <v/>
      </c>
      <c r="C20" s="24">
        <f>IF(COUNTIFS(Mesarios!$A$2:$A$112,$A20,Mesarios!$B$2:$B$112,C$1)&gt;0,"✓","VAGO")</f>
        <v/>
      </c>
      <c r="D20" s="24">
        <f>IF(COUNTIFS(Mesarios!$A$2:$A$112,$A20,Mesarios!$B$2:$B$112,D$1)&gt;0,"✓","VAGO")</f>
        <v/>
      </c>
      <c r="E20" s="24">
        <f>IF(COUNTIFS(Mesarios!$A$2:$A$112,$A20,Mesarios!$B$2:$B$112,E$1)&gt;0,"✓","VAGO")</f>
        <v/>
      </c>
      <c r="F20" s="24">
        <f>IF(COUNTIFS(Mesarios!$A$2:$A$112,$A20,Mesarios!$B$2:$B$112,F$1)&gt;0,"✓","VAGO")</f>
        <v/>
      </c>
      <c r="G20" s="24">
        <f>COUNTIFS(Mesarios!$A$2:$A$112,$A20,Mesarios!$M$2:$M$112,"SIM")</f>
        <v/>
      </c>
      <c r="H20" s="24">
        <f>COUNTIFS(Mesarios!$A$2:$A$112,$A20,Mesarios!$M$2:$M$112,"NAO")</f>
        <v/>
      </c>
      <c r="I20" s="24">
        <f>COUNTIFS(Mesarios!$A$2:$A$112,$A20,Mesarios!$M$2:$M$112,"0006/2026")+COUNTIFS(Mesarios!$A$2:$A$112,$A20,Mesarios!$M$2:$M$112,"-")</f>
        <v/>
      </c>
      <c r="J20" s="24">
        <f>COUNTIF(C20:F20,"VAGO")</f>
        <v/>
      </c>
      <c r="K20" s="25">
        <f>IF(B20&lt;4,"Mesa com "&amp;B20&amp;" designados","")&amp;IF(AND(B20&lt;4,G20&lt;3)," · ","")&amp;IF(G20&lt;3,"Só "&amp;G20&amp;" presentes","")</f>
        <v/>
      </c>
      <c r="L20" s="26" t="n"/>
      <c r="M20" s="50" t="n">
        <v>399</v>
      </c>
      <c r="N20" s="50" t="n">
        <v>295</v>
      </c>
      <c r="O20" s="51">
        <f>IF(N20&gt;=$N$34,"Alto",IF(N20&gt;=$N$35,"Médio","Baixo"))</f>
        <v/>
      </c>
      <c r="P20" s="50" t="n">
        <v>396</v>
      </c>
      <c r="Q20" s="50" t="n">
        <v>204</v>
      </c>
      <c r="R20" s="52">
        <f>P20-Q20</f>
        <v/>
      </c>
      <c r="S20" s="53">
        <f>Q20/P20</f>
        <v/>
      </c>
      <c r="T20" s="54">
        <f>Q20-N20</f>
        <v/>
      </c>
      <c r="U20" s="55">
        <f>Q20/N20-1</f>
        <v/>
      </c>
      <c r="V20" s="56">
        <f>RANK(Q20,$Q$2:$Q$29)+COUNTIF($Q$2:Q20,Q20)-1</f>
        <v/>
      </c>
      <c r="W20" s="51">
        <f>IF(Q20&gt;=$W$34,"Alto",IF(Q20&gt;=$W$35,"Médio","Baixo"))</f>
        <v/>
      </c>
    </row>
    <row r="21">
      <c r="A21" s="23" t="n">
        <v>3309</v>
      </c>
      <c r="B21" s="24">
        <f>COUNTIFS(Mesarios!$A$2:$A$112,$A21)</f>
        <v/>
      </c>
      <c r="C21" s="24">
        <f>IF(COUNTIFS(Mesarios!$A$2:$A$112,$A21,Mesarios!$B$2:$B$112,C$1)&gt;0,"✓","VAGO")</f>
        <v/>
      </c>
      <c r="D21" s="24">
        <f>IF(COUNTIFS(Mesarios!$A$2:$A$112,$A21,Mesarios!$B$2:$B$112,D$1)&gt;0,"✓","VAGO")</f>
        <v/>
      </c>
      <c r="E21" s="24">
        <f>IF(COUNTIFS(Mesarios!$A$2:$A$112,$A21,Mesarios!$B$2:$B$112,E$1)&gt;0,"✓","VAGO")</f>
        <v/>
      </c>
      <c r="F21" s="24">
        <f>IF(COUNTIFS(Mesarios!$A$2:$A$112,$A21,Mesarios!$B$2:$B$112,F$1)&gt;0,"✓","VAGO")</f>
        <v/>
      </c>
      <c r="G21" s="24">
        <f>COUNTIFS(Mesarios!$A$2:$A$112,$A21,Mesarios!$M$2:$M$112,"SIM")</f>
        <v/>
      </c>
      <c r="H21" s="24">
        <f>COUNTIFS(Mesarios!$A$2:$A$112,$A21,Mesarios!$M$2:$M$112,"NAO")</f>
        <v/>
      </c>
      <c r="I21" s="24">
        <f>COUNTIFS(Mesarios!$A$2:$A$112,$A21,Mesarios!$M$2:$M$112,"0006/2026")+COUNTIFS(Mesarios!$A$2:$A$112,$A21,Mesarios!$M$2:$M$112,"-")</f>
        <v/>
      </c>
      <c r="J21" s="24">
        <f>COUNTIF(C21:F21,"VAGO")</f>
        <v/>
      </c>
      <c r="K21" s="25">
        <f>IF(B21&lt;4,"Mesa com "&amp;B21&amp;" designados","")&amp;IF(AND(B21&lt;4,G21&lt;3)," · ","")&amp;IF(G21&lt;3,"Só "&amp;G21&amp;" presentes","")</f>
        <v/>
      </c>
      <c r="L21" s="26" t="n">
        <v>1314</v>
      </c>
      <c r="M21" s="50" t="n">
        <v>615</v>
      </c>
      <c r="N21" s="50" t="n">
        <v>395</v>
      </c>
      <c r="O21" s="51">
        <f>IF(N21&gt;=$N$34,"Alto",IF(N21&gt;=$N$35,"Médio","Baixo"))</f>
        <v/>
      </c>
      <c r="P21" s="50" t="n">
        <v>614</v>
      </c>
      <c r="Q21" s="50" t="n">
        <v>278</v>
      </c>
      <c r="R21" s="52">
        <f>P21-Q21</f>
        <v/>
      </c>
      <c r="S21" s="53">
        <f>Q21/P21</f>
        <v/>
      </c>
      <c r="T21" s="54">
        <f>Q21-N21</f>
        <v/>
      </c>
      <c r="U21" s="55">
        <f>Q21/N21-1</f>
        <v/>
      </c>
      <c r="V21" s="56">
        <f>RANK(Q21,$Q$2:$Q$29)+COUNTIF($Q$2:Q21,Q21)-1</f>
        <v/>
      </c>
      <c r="W21" s="51">
        <f>IF(Q21&gt;=$W$34,"Alto",IF(Q21&gt;=$W$35,"Médio","Baixo"))</f>
        <v/>
      </c>
    </row>
    <row r="22">
      <c r="A22" s="23" t="n">
        <v>3311</v>
      </c>
      <c r="B22" s="24">
        <f>COUNTIFS(Mesarios!$A$2:$A$112,$A22)</f>
        <v/>
      </c>
      <c r="C22" s="24">
        <f>IF(COUNTIFS(Mesarios!$A$2:$A$112,$A22,Mesarios!$B$2:$B$112,C$1)&gt;0,"✓","VAGO")</f>
        <v/>
      </c>
      <c r="D22" s="24">
        <f>IF(COUNTIFS(Mesarios!$A$2:$A$112,$A22,Mesarios!$B$2:$B$112,D$1)&gt;0,"✓","VAGO")</f>
        <v/>
      </c>
      <c r="E22" s="24">
        <f>IF(COUNTIFS(Mesarios!$A$2:$A$112,$A22,Mesarios!$B$2:$B$112,E$1)&gt;0,"✓","VAGO")</f>
        <v/>
      </c>
      <c r="F22" s="24">
        <f>IF(COUNTIFS(Mesarios!$A$2:$A$112,$A22,Mesarios!$B$2:$B$112,F$1)&gt;0,"✓","VAGO")</f>
        <v/>
      </c>
      <c r="G22" s="24">
        <f>COUNTIFS(Mesarios!$A$2:$A$112,$A22,Mesarios!$M$2:$M$112,"SIM")</f>
        <v/>
      </c>
      <c r="H22" s="24">
        <f>COUNTIFS(Mesarios!$A$2:$A$112,$A22,Mesarios!$M$2:$M$112,"NAO")</f>
        <v/>
      </c>
      <c r="I22" s="24">
        <f>COUNTIFS(Mesarios!$A$2:$A$112,$A22,Mesarios!$M$2:$M$112,"0006/2026")+COUNTIFS(Mesarios!$A$2:$A$112,$A22,Mesarios!$M$2:$M$112,"-")</f>
        <v/>
      </c>
      <c r="J22" s="24">
        <f>COUNTIF(C22:F22,"VAGO")</f>
        <v/>
      </c>
      <c r="K22" s="25">
        <f>IF(B22&lt;4,"Mesa com "&amp;B22&amp;" designados","")&amp;IF(AND(B22&lt;4,G22&lt;3)," · ","")&amp;IF(G22&lt;3,"Só "&amp;G22&amp;" presentes","")</f>
        <v/>
      </c>
      <c r="L22" s="26" t="n">
        <v>3913</v>
      </c>
      <c r="M22" s="50" t="n">
        <v>630</v>
      </c>
      <c r="N22" s="50" t="n">
        <v>466</v>
      </c>
      <c r="O22" s="51">
        <f>IF(N22&gt;=$N$34,"Alto",IF(N22&gt;=$N$35,"Médio","Baixo"))</f>
        <v/>
      </c>
      <c r="P22" s="50" t="n">
        <v>626</v>
      </c>
      <c r="Q22" s="50" t="n">
        <v>384</v>
      </c>
      <c r="R22" s="52">
        <f>P22-Q22</f>
        <v/>
      </c>
      <c r="S22" s="53">
        <f>Q22/P22</f>
        <v/>
      </c>
      <c r="T22" s="54">
        <f>Q22-N22</f>
        <v/>
      </c>
      <c r="U22" s="55">
        <f>Q22/N22-1</f>
        <v/>
      </c>
      <c r="V22" s="56">
        <f>RANK(Q22,$Q$2:$Q$29)+COUNTIF($Q$2:Q22,Q22)-1</f>
        <v/>
      </c>
      <c r="W22" s="51">
        <f>IF(Q22&gt;=$W$34,"Alto",IF(Q22&gt;=$W$35,"Médio","Baixo"))</f>
        <v/>
      </c>
    </row>
    <row r="23">
      <c r="A23" s="23" t="n">
        <v>3313</v>
      </c>
      <c r="B23" s="24">
        <f>COUNTIFS(Mesarios!$A$2:$A$112,$A23)</f>
        <v/>
      </c>
      <c r="C23" s="24">
        <f>IF(COUNTIFS(Mesarios!$A$2:$A$112,$A23,Mesarios!$B$2:$B$112,C$1)&gt;0,"✓","VAGO")</f>
        <v/>
      </c>
      <c r="D23" s="24">
        <f>IF(COUNTIFS(Mesarios!$A$2:$A$112,$A23,Mesarios!$B$2:$B$112,D$1)&gt;0,"✓","VAGO")</f>
        <v/>
      </c>
      <c r="E23" s="24">
        <f>IF(COUNTIFS(Mesarios!$A$2:$A$112,$A23,Mesarios!$B$2:$B$112,E$1)&gt;0,"✓","VAGO")</f>
        <v/>
      </c>
      <c r="F23" s="24">
        <f>IF(COUNTIFS(Mesarios!$A$2:$A$112,$A23,Mesarios!$B$2:$B$112,F$1)&gt;0,"✓","VAGO")</f>
        <v/>
      </c>
      <c r="G23" s="24">
        <f>COUNTIFS(Mesarios!$A$2:$A$112,$A23,Mesarios!$M$2:$M$112,"SIM")</f>
        <v/>
      </c>
      <c r="H23" s="24">
        <f>COUNTIFS(Mesarios!$A$2:$A$112,$A23,Mesarios!$M$2:$M$112,"NAO")</f>
        <v/>
      </c>
      <c r="I23" s="24">
        <f>COUNTIFS(Mesarios!$A$2:$A$112,$A23,Mesarios!$M$2:$M$112,"0006/2026")+COUNTIFS(Mesarios!$A$2:$A$112,$A23,Mesarios!$M$2:$M$112,"-")</f>
        <v/>
      </c>
      <c r="J23" s="24">
        <f>COUNTIF(C23:F23,"VAGO")</f>
        <v/>
      </c>
      <c r="K23" s="25">
        <f>IF(B23&lt;4,"Mesa com "&amp;B23&amp;" designados","")&amp;IF(AND(B23&lt;4,G23&lt;3)," · ","")&amp;IF(G23&lt;3,"Só "&amp;G23&amp;" presentes","")</f>
        <v/>
      </c>
      <c r="L23" s="26" t="n">
        <v>3889</v>
      </c>
      <c r="M23" s="50" t="n">
        <v>797</v>
      </c>
      <c r="N23" s="50" t="n">
        <v>590</v>
      </c>
      <c r="O23" s="51">
        <f>IF(N23&gt;=$N$34,"Alto",IF(N23&gt;=$N$35,"Médio","Baixo"))</f>
        <v/>
      </c>
      <c r="P23" s="50" t="n">
        <v>792</v>
      </c>
      <c r="Q23" s="50" t="n">
        <v>492</v>
      </c>
      <c r="R23" s="52">
        <f>P23-Q23</f>
        <v/>
      </c>
      <c r="S23" s="53">
        <f>Q23/P23</f>
        <v/>
      </c>
      <c r="T23" s="54">
        <f>Q23-N23</f>
        <v/>
      </c>
      <c r="U23" s="55">
        <f>Q23/N23-1</f>
        <v/>
      </c>
      <c r="V23" s="56">
        <f>RANK(Q23,$Q$2:$Q$29)+COUNTIF($Q$2:Q23,Q23)-1</f>
        <v/>
      </c>
      <c r="W23" s="51">
        <f>IF(Q23&gt;=$W$34,"Alto",IF(Q23&gt;=$W$35,"Médio","Baixo"))</f>
        <v/>
      </c>
    </row>
    <row r="24">
      <c r="A24" s="23" t="n">
        <v>3315</v>
      </c>
      <c r="B24" s="24">
        <f>COUNTIFS(Mesarios!$A$2:$A$112,$A24)</f>
        <v/>
      </c>
      <c r="C24" s="24">
        <f>IF(COUNTIFS(Mesarios!$A$2:$A$112,$A24,Mesarios!$B$2:$B$112,C$1)&gt;0,"✓","VAGO")</f>
        <v/>
      </c>
      <c r="D24" s="24">
        <f>IF(COUNTIFS(Mesarios!$A$2:$A$112,$A24,Mesarios!$B$2:$B$112,D$1)&gt;0,"✓","VAGO")</f>
        <v/>
      </c>
      <c r="E24" s="24">
        <f>IF(COUNTIFS(Mesarios!$A$2:$A$112,$A24,Mesarios!$B$2:$B$112,E$1)&gt;0,"✓","VAGO")</f>
        <v/>
      </c>
      <c r="F24" s="24">
        <f>IF(COUNTIFS(Mesarios!$A$2:$A$112,$A24,Mesarios!$B$2:$B$112,F$1)&gt;0,"✓","VAGO")</f>
        <v/>
      </c>
      <c r="G24" s="24">
        <f>COUNTIFS(Mesarios!$A$2:$A$112,$A24,Mesarios!$M$2:$M$112,"SIM")</f>
        <v/>
      </c>
      <c r="H24" s="24">
        <f>COUNTIFS(Mesarios!$A$2:$A$112,$A24,Mesarios!$M$2:$M$112,"NAO")</f>
        <v/>
      </c>
      <c r="I24" s="24">
        <f>COUNTIFS(Mesarios!$A$2:$A$112,$A24,Mesarios!$M$2:$M$112,"0006/2026")+COUNTIFS(Mesarios!$A$2:$A$112,$A24,Mesarios!$M$2:$M$112,"-")</f>
        <v/>
      </c>
      <c r="J24" s="24">
        <f>COUNTIF(C24:F24,"VAGO")</f>
        <v/>
      </c>
      <c r="K24" s="25">
        <f>IF(B24&lt;4,"Mesa com "&amp;B24&amp;" designados","")&amp;IF(AND(B24&lt;4,G24&lt;3)," · ","")&amp;IF(G24&lt;3,"Só "&amp;G24&amp;" presentes","")</f>
        <v/>
      </c>
      <c r="L24" s="26" t="n">
        <v>3778</v>
      </c>
      <c r="M24" s="50" t="n">
        <v>792</v>
      </c>
      <c r="N24" s="50" t="n">
        <v>586</v>
      </c>
      <c r="O24" s="51">
        <f>IF(N24&gt;=$N$34,"Alto",IF(N24&gt;=$N$35,"Médio","Baixo"))</f>
        <v/>
      </c>
      <c r="P24" s="50" t="n">
        <v>790</v>
      </c>
      <c r="Q24" s="50" t="n">
        <v>536</v>
      </c>
      <c r="R24" s="52">
        <f>P24-Q24</f>
        <v/>
      </c>
      <c r="S24" s="53">
        <f>Q24/P24</f>
        <v/>
      </c>
      <c r="T24" s="54">
        <f>Q24-N24</f>
        <v/>
      </c>
      <c r="U24" s="55">
        <f>Q24/N24-1</f>
        <v/>
      </c>
      <c r="V24" s="56">
        <f>RANK(Q24,$Q$2:$Q$29)+COUNTIF($Q$2:Q24,Q24)-1</f>
        <v/>
      </c>
      <c r="W24" s="51">
        <f>IF(Q24&gt;=$W$34,"Alto",IF(Q24&gt;=$W$35,"Médio","Baixo"))</f>
        <v/>
      </c>
    </row>
    <row r="25">
      <c r="A25" s="23" t="n">
        <v>3322</v>
      </c>
      <c r="B25" s="24">
        <f>COUNTIFS(Mesarios!$A$2:$A$112,$A25)</f>
        <v/>
      </c>
      <c r="C25" s="24">
        <f>IF(COUNTIFS(Mesarios!$A$2:$A$112,$A25,Mesarios!$B$2:$B$112,C$1)&gt;0,"✓","VAGO")</f>
        <v/>
      </c>
      <c r="D25" s="24">
        <f>IF(COUNTIFS(Mesarios!$A$2:$A$112,$A25,Mesarios!$B$2:$B$112,D$1)&gt;0,"✓","VAGO")</f>
        <v/>
      </c>
      <c r="E25" s="24">
        <f>IF(COUNTIFS(Mesarios!$A$2:$A$112,$A25,Mesarios!$B$2:$B$112,E$1)&gt;0,"✓","VAGO")</f>
        <v/>
      </c>
      <c r="F25" s="24">
        <f>IF(COUNTIFS(Mesarios!$A$2:$A$112,$A25,Mesarios!$B$2:$B$112,F$1)&gt;0,"✓","VAGO")</f>
        <v/>
      </c>
      <c r="G25" s="24">
        <f>COUNTIFS(Mesarios!$A$2:$A$112,$A25,Mesarios!$M$2:$M$112,"SIM")</f>
        <v/>
      </c>
      <c r="H25" s="24">
        <f>COUNTIFS(Mesarios!$A$2:$A$112,$A25,Mesarios!$M$2:$M$112,"NAO")</f>
        <v/>
      </c>
      <c r="I25" s="24">
        <f>COUNTIFS(Mesarios!$A$2:$A$112,$A25,Mesarios!$M$2:$M$112,"0006/2026")+COUNTIFS(Mesarios!$A$2:$A$112,$A25,Mesarios!$M$2:$M$112,"-")</f>
        <v/>
      </c>
      <c r="J25" s="24">
        <f>COUNTIF(C25:F25,"VAGO")</f>
        <v/>
      </c>
      <c r="K25" s="25">
        <f>IF(B25&lt;4,"Mesa com "&amp;B25&amp;" designados","")&amp;IF(AND(B25&lt;4,G25&lt;3)," · ","")&amp;IF(G25&lt;3,"Só "&amp;G25&amp;" presentes","")</f>
        <v/>
      </c>
      <c r="L25" s="26" t="n">
        <v>3752</v>
      </c>
      <c r="M25" s="50" t="n">
        <v>794</v>
      </c>
      <c r="N25" s="50" t="n">
        <v>588</v>
      </c>
      <c r="O25" s="51">
        <f>IF(N25&gt;=$N$34,"Alto",IF(N25&gt;=$N$35,"Médio","Baixo"))</f>
        <v/>
      </c>
      <c r="P25" s="50" t="n">
        <v>792</v>
      </c>
      <c r="Q25" s="50" t="n">
        <v>503</v>
      </c>
      <c r="R25" s="52">
        <f>P25-Q25</f>
        <v/>
      </c>
      <c r="S25" s="53">
        <f>Q25/P25</f>
        <v/>
      </c>
      <c r="T25" s="54">
        <f>Q25-N25</f>
        <v/>
      </c>
      <c r="U25" s="55">
        <f>Q25/N25-1</f>
        <v/>
      </c>
      <c r="V25" s="56">
        <f>RANK(Q25,$Q$2:$Q$29)+COUNTIF($Q$2:Q25,Q25)-1</f>
        <v/>
      </c>
      <c r="W25" s="51">
        <f>IF(Q25&gt;=$W$34,"Alto",IF(Q25&gt;=$W$35,"Médio","Baixo"))</f>
        <v/>
      </c>
    </row>
    <row r="26">
      <c r="A26" s="23" t="n">
        <v>3442</v>
      </c>
      <c r="B26" s="24">
        <f>COUNTIFS(Mesarios!$A$2:$A$112,$A26)</f>
        <v/>
      </c>
      <c r="C26" s="24">
        <f>IF(COUNTIFS(Mesarios!$A$2:$A$112,$A26,Mesarios!$B$2:$B$112,C$1)&gt;0,"✓","VAGO")</f>
        <v/>
      </c>
      <c r="D26" s="24">
        <f>IF(COUNTIFS(Mesarios!$A$2:$A$112,$A26,Mesarios!$B$2:$B$112,D$1)&gt;0,"✓","VAGO")</f>
        <v/>
      </c>
      <c r="E26" s="24">
        <f>IF(COUNTIFS(Mesarios!$A$2:$A$112,$A26,Mesarios!$B$2:$B$112,E$1)&gt;0,"✓","VAGO")</f>
        <v/>
      </c>
      <c r="F26" s="24">
        <f>IF(COUNTIFS(Mesarios!$A$2:$A$112,$A26,Mesarios!$B$2:$B$112,F$1)&gt;0,"✓","VAGO")</f>
        <v/>
      </c>
      <c r="G26" s="24">
        <f>COUNTIFS(Mesarios!$A$2:$A$112,$A26,Mesarios!$M$2:$M$112,"SIM")</f>
        <v/>
      </c>
      <c r="H26" s="24">
        <f>COUNTIFS(Mesarios!$A$2:$A$112,$A26,Mesarios!$M$2:$M$112,"NAO")</f>
        <v/>
      </c>
      <c r="I26" s="24">
        <f>COUNTIFS(Mesarios!$A$2:$A$112,$A26,Mesarios!$M$2:$M$112,"0006/2026")+COUNTIFS(Mesarios!$A$2:$A$112,$A26,Mesarios!$M$2:$M$112,"-")</f>
        <v/>
      </c>
      <c r="J26" s="24">
        <f>COUNTIF(C26:F26,"VAGO")</f>
        <v/>
      </c>
      <c r="K26" s="25">
        <f>IF(B26&lt;4,"Mesa com "&amp;B26&amp;" designados","")&amp;IF(AND(B26&lt;4,G26&lt;3)," · ","")&amp;IF(G26&lt;3,"Só "&amp;G26&amp;" presentes","")</f>
        <v/>
      </c>
      <c r="L26" s="26" t="n"/>
      <c r="M26" s="50" t="n">
        <v>398</v>
      </c>
      <c r="N26" s="50" t="n">
        <v>295</v>
      </c>
      <c r="O26" s="51">
        <f>IF(N26&gt;=$N$34,"Alto",IF(N26&gt;=$N$35,"Médio","Baixo"))</f>
        <v/>
      </c>
      <c r="P26" s="50" t="n">
        <v>397</v>
      </c>
      <c r="Q26" s="50" t="n">
        <v>134</v>
      </c>
      <c r="R26" s="52">
        <f>P26-Q26</f>
        <v/>
      </c>
      <c r="S26" s="53">
        <f>Q26/P26</f>
        <v/>
      </c>
      <c r="T26" s="54">
        <f>Q26-N26</f>
        <v/>
      </c>
      <c r="U26" s="55">
        <f>Q26/N26-1</f>
        <v/>
      </c>
      <c r="V26" s="56">
        <f>RANK(Q26,$Q$2:$Q$29)+COUNTIF($Q$2:Q26,Q26)-1</f>
        <v/>
      </c>
      <c r="W26" s="51">
        <f>IF(Q26&gt;=$W$34,"Alto",IF(Q26&gt;=$W$35,"Médio","Baixo"))</f>
        <v/>
      </c>
    </row>
    <row r="27">
      <c r="A27" s="23" t="n">
        <v>3688</v>
      </c>
      <c r="B27" s="24">
        <f>COUNTIFS(Mesarios!$A$2:$A$112,$A27)</f>
        <v/>
      </c>
      <c r="C27" s="24">
        <f>IF(COUNTIFS(Mesarios!$A$2:$A$112,$A27,Mesarios!$B$2:$B$112,C$1)&gt;0,"✓","VAGO")</f>
        <v/>
      </c>
      <c r="D27" s="24">
        <f>IF(COUNTIFS(Mesarios!$A$2:$A$112,$A27,Mesarios!$B$2:$B$112,D$1)&gt;0,"✓","VAGO")</f>
        <v/>
      </c>
      <c r="E27" s="24">
        <f>IF(COUNTIFS(Mesarios!$A$2:$A$112,$A27,Mesarios!$B$2:$B$112,E$1)&gt;0,"✓","VAGO")</f>
        <v/>
      </c>
      <c r="F27" s="24">
        <f>IF(COUNTIFS(Mesarios!$A$2:$A$112,$A27,Mesarios!$B$2:$B$112,F$1)&gt;0,"✓","VAGO")</f>
        <v/>
      </c>
      <c r="G27" s="24">
        <f>COUNTIFS(Mesarios!$A$2:$A$112,$A27,Mesarios!$M$2:$M$112,"SIM")</f>
        <v/>
      </c>
      <c r="H27" s="24">
        <f>COUNTIFS(Mesarios!$A$2:$A$112,$A27,Mesarios!$M$2:$M$112,"NAO")</f>
        <v/>
      </c>
      <c r="I27" s="24">
        <f>COUNTIFS(Mesarios!$A$2:$A$112,$A27,Mesarios!$M$2:$M$112,"0006/2026")+COUNTIFS(Mesarios!$A$2:$A$112,$A27,Mesarios!$M$2:$M$112,"-")</f>
        <v/>
      </c>
      <c r="J27" s="24">
        <f>COUNTIF(C27:F27,"VAGO")</f>
        <v/>
      </c>
      <c r="K27" s="25">
        <f>IF(B27&lt;4,"Mesa com "&amp;B27&amp;" designados","")&amp;IF(AND(B27&lt;4,G27&lt;3)," · ","")&amp;IF(G27&lt;3,"Só "&amp;G27&amp;" presentes","")</f>
        <v/>
      </c>
      <c r="L27" s="26" t="n"/>
      <c r="M27" s="50" t="n">
        <v>400</v>
      </c>
      <c r="N27" s="50" t="n">
        <v>296</v>
      </c>
      <c r="O27" s="51">
        <f>IF(N27&gt;=$N$34,"Alto",IF(N27&gt;=$N$35,"Médio","Baixo"))</f>
        <v/>
      </c>
      <c r="P27" s="50" t="n">
        <v>399</v>
      </c>
      <c r="Q27" s="50" t="n">
        <v>265</v>
      </c>
      <c r="R27" s="52">
        <f>P27-Q27</f>
        <v/>
      </c>
      <c r="S27" s="53">
        <f>Q27/P27</f>
        <v/>
      </c>
      <c r="T27" s="54">
        <f>Q27-N27</f>
        <v/>
      </c>
      <c r="U27" s="55">
        <f>Q27/N27-1</f>
        <v/>
      </c>
      <c r="V27" s="56">
        <f>RANK(Q27,$Q$2:$Q$29)+COUNTIF($Q$2:Q27,Q27)-1</f>
        <v/>
      </c>
      <c r="W27" s="51">
        <f>IF(Q27&gt;=$W$34,"Alto",IF(Q27&gt;=$W$35,"Médio","Baixo"))</f>
        <v/>
      </c>
    </row>
    <row r="28">
      <c r="A28" s="23" t="n">
        <v>3832</v>
      </c>
      <c r="B28" s="24">
        <f>COUNTIFS(Mesarios!$A$2:$A$112,$A28)</f>
        <v/>
      </c>
      <c r="C28" s="24">
        <f>IF(COUNTIFS(Mesarios!$A$2:$A$112,$A28,Mesarios!$B$2:$B$112,C$1)&gt;0,"✓","VAGO")</f>
        <v/>
      </c>
      <c r="D28" s="24">
        <f>IF(COUNTIFS(Mesarios!$A$2:$A$112,$A28,Mesarios!$B$2:$B$112,D$1)&gt;0,"✓","VAGO")</f>
        <v/>
      </c>
      <c r="E28" s="24">
        <f>IF(COUNTIFS(Mesarios!$A$2:$A$112,$A28,Mesarios!$B$2:$B$112,E$1)&gt;0,"✓","VAGO")</f>
        <v/>
      </c>
      <c r="F28" s="24">
        <f>IF(COUNTIFS(Mesarios!$A$2:$A$112,$A28,Mesarios!$B$2:$B$112,F$1)&gt;0,"✓","VAGO")</f>
        <v/>
      </c>
      <c r="G28" s="24">
        <f>COUNTIFS(Mesarios!$A$2:$A$112,$A28,Mesarios!$M$2:$M$112,"SIM")</f>
        <v/>
      </c>
      <c r="H28" s="24">
        <f>COUNTIFS(Mesarios!$A$2:$A$112,$A28,Mesarios!$M$2:$M$112,"NAO")</f>
        <v/>
      </c>
      <c r="I28" s="24">
        <f>COUNTIFS(Mesarios!$A$2:$A$112,$A28,Mesarios!$M$2:$M$112,"0006/2026")+COUNTIFS(Mesarios!$A$2:$A$112,$A28,Mesarios!$M$2:$M$112,"-")</f>
        <v/>
      </c>
      <c r="J28" s="24">
        <f>COUNTIF(C28:F28,"VAGO")</f>
        <v/>
      </c>
      <c r="K28" s="25">
        <f>IF(B28&lt;4,"Mesa com "&amp;B28&amp;" designados","")&amp;IF(AND(B28&lt;4,G28&lt;3)," · ","")&amp;IF(G28&lt;3,"Só "&amp;G28&amp;" presentes","")</f>
        <v/>
      </c>
      <c r="L28" s="26" t="n"/>
      <c r="M28" s="50" t="n">
        <v>400</v>
      </c>
      <c r="N28" s="50" t="n">
        <v>296</v>
      </c>
      <c r="O28" s="51">
        <f>IF(N28&gt;=$N$34,"Alto",IF(N28&gt;=$N$35,"Médio","Baixo"))</f>
        <v/>
      </c>
      <c r="P28" s="50" t="n">
        <v>399</v>
      </c>
      <c r="Q28" s="50" t="n">
        <v>306</v>
      </c>
      <c r="R28" s="52">
        <f>P28-Q28</f>
        <v/>
      </c>
      <c r="S28" s="53">
        <f>Q28/P28</f>
        <v/>
      </c>
      <c r="T28" s="54">
        <f>Q28-N28</f>
        <v/>
      </c>
      <c r="U28" s="55">
        <f>Q28/N28-1</f>
        <v/>
      </c>
      <c r="V28" s="56">
        <f>RANK(Q28,$Q$2:$Q$29)+COUNTIF($Q$2:Q28,Q28)-1</f>
        <v/>
      </c>
      <c r="W28" s="51">
        <f>IF(Q28&gt;=$W$34,"Alto",IF(Q28&gt;=$W$35,"Médio","Baixo"))</f>
        <v/>
      </c>
    </row>
    <row r="29" ht="15.75" customHeight="1">
      <c r="A29" s="23" t="n">
        <v>3862</v>
      </c>
      <c r="B29" s="24">
        <f>COUNTIFS(Mesarios!$A$2:$A$112,$A29)</f>
        <v/>
      </c>
      <c r="C29" s="24">
        <f>IF(COUNTIFS(Mesarios!$A$2:$A$112,$A29,Mesarios!$B$2:$B$112,C$1)&gt;0,"✓","VAGO")</f>
        <v/>
      </c>
      <c r="D29" s="24">
        <f>IF(COUNTIFS(Mesarios!$A$2:$A$112,$A29,Mesarios!$B$2:$B$112,D$1)&gt;0,"✓","VAGO")</f>
        <v/>
      </c>
      <c r="E29" s="24">
        <f>IF(COUNTIFS(Mesarios!$A$2:$A$112,$A29,Mesarios!$B$2:$B$112,E$1)&gt;0,"✓","VAGO")</f>
        <v/>
      </c>
      <c r="F29" s="24">
        <f>IF(COUNTIFS(Mesarios!$A$2:$A$112,$A29,Mesarios!$B$2:$B$112,F$1)&gt;0,"✓","VAGO")</f>
        <v/>
      </c>
      <c r="G29" s="24">
        <f>COUNTIFS(Mesarios!$A$2:$A$112,$A29,Mesarios!$M$2:$M$112,"SIM")</f>
        <v/>
      </c>
      <c r="H29" s="24">
        <f>COUNTIFS(Mesarios!$A$2:$A$112,$A29,Mesarios!$M$2:$M$112,"NAO")</f>
        <v/>
      </c>
      <c r="I29" s="24">
        <f>COUNTIFS(Mesarios!$A$2:$A$112,$A29,Mesarios!$M$2:$M$112,"0006/2026")+COUNTIFS(Mesarios!$A$2:$A$112,$A29,Mesarios!$M$2:$M$112,"-")</f>
        <v/>
      </c>
      <c r="J29" s="24">
        <f>COUNTIF(C29:F29,"VAGO")</f>
        <v/>
      </c>
      <c r="K29" s="25">
        <f>IF(B29&lt;4,"Mesa com "&amp;B29&amp;" designados","")&amp;IF(AND(B29&lt;4,G29&lt;3)," · ","")&amp;IF(G29&lt;3,"Só "&amp;G29&amp;" presentes","")</f>
        <v/>
      </c>
      <c r="L29" s="26" t="n"/>
      <c r="M29" s="50" t="n">
        <v>400</v>
      </c>
      <c r="N29" s="50" t="n">
        <v>296</v>
      </c>
      <c r="O29" s="51">
        <f>IF(N29&gt;=$N$34,"Alto",IF(N29&gt;=$N$35,"Médio","Baixo"))</f>
        <v/>
      </c>
      <c r="P29" s="50" t="n">
        <v>400</v>
      </c>
      <c r="Q29" s="50" t="n">
        <v>302</v>
      </c>
      <c r="R29" s="52">
        <f>P29-Q29</f>
        <v/>
      </c>
      <c r="S29" s="53">
        <f>Q29/P29</f>
        <v/>
      </c>
      <c r="T29" s="54">
        <f>Q29-N29</f>
        <v/>
      </c>
      <c r="U29" s="55">
        <f>Q29/N29-1</f>
        <v/>
      </c>
      <c r="V29" s="56">
        <f>RANK(Q29,$Q$2:$Q$29)+COUNTIF($Q$2:Q29,Q29)-1</f>
        <v/>
      </c>
      <c r="W29" s="51">
        <f>IF(Q29&gt;=$W$34,"Alto",IF(Q29&gt;=$W$35,"Médio","Baixo"))</f>
        <v/>
      </c>
    </row>
    <row r="30">
      <c r="A30" s="28" t="inlineStr">
        <is>
          <t>Total</t>
        </is>
      </c>
      <c r="B30" s="28">
        <f>SUM(B2:B29)</f>
        <v/>
      </c>
      <c r="C30" s="28">
        <f>COUNTIF(C2:C29,"VAGO")</f>
        <v/>
      </c>
      <c r="D30" s="28">
        <f>COUNTIF(D2:D29,"VAGO")</f>
        <v/>
      </c>
      <c r="E30" s="28">
        <f>COUNTIF(E2:E29,"VAGO")</f>
        <v/>
      </c>
      <c r="F30" s="28">
        <f>COUNTIF(F2:F29,"VAGO")</f>
        <v/>
      </c>
      <c r="G30" s="28">
        <f>SUM(G2:G29)</f>
        <v/>
      </c>
      <c r="H30" s="28">
        <f>SUM(H2:H29)</f>
        <v/>
      </c>
      <c r="I30" s="28">
        <f>SUM(I2:I29)</f>
        <v/>
      </c>
      <c r="J30" s="28">
        <f>SUM(J2:J29)</f>
        <v/>
      </c>
      <c r="K30" s="29" t="n"/>
      <c r="M30" s="57">
        <f>SUM(M2:M29)</f>
        <v/>
      </c>
      <c r="N30" s="57">
        <f>SUM(N2:N29)</f>
        <v/>
      </c>
      <c r="O30" s="58">
        <f>COUNTIF(O2:O29,"Alto")&amp;" A · "&amp;COUNTIF(O2:O29,"Médio")&amp;" M · "&amp;COUNTIF(O2:O29,"Baixo")&amp;" B"</f>
        <v/>
      </c>
      <c r="P30" s="57">
        <f>SUM(P2:P29)</f>
        <v/>
      </c>
      <c r="Q30" s="57">
        <f>SUM(Q2:Q29)</f>
        <v/>
      </c>
      <c r="R30" s="57">
        <f>P30-Q30</f>
        <v/>
      </c>
      <c r="S30" s="59">
        <f>Q30/P30</f>
        <v/>
      </c>
      <c r="T30" s="60">
        <f>Q30-N30</f>
        <v/>
      </c>
      <c r="U30" s="61">
        <f>Q30/N30-1</f>
        <v/>
      </c>
      <c r="V30" s="57" t="n"/>
      <c r="W30" s="57">
        <f>COUNTIF(W2:W29,"Alto")&amp;" A · "&amp;COUNTIF(W2:W29,"Médio")&amp;" M · "&amp;COUNTIF(W2:W29,"Baixo")&amp;" B"</f>
        <v/>
      </c>
    </row>
    <row r="31"/>
    <row r="32">
      <c r="A32" s="31" t="inlineStr">
        <is>
          <t>Fonte: Justiça Eleitoral, Elo/Convoca+ — "Relatório de Mesários por Situação", Zona 001/ZZ, Local 1015 RDS Hall 2, emitido 30/09/2026 13:42. Colunas G–I lidas da coluna "Presença consolidada" (M) da aba Mesarios (SIM / NAO), que cruza a lista Elo de 30/09 com os boletins de identificação de 04/10; ver aba "Divergências".</t>
        </is>
      </c>
    </row>
    <row r="33">
      <c r="A33" s="32" t="inlineStr">
        <is>
          <t>Eleitores esperados: comparecimento esperado por urna (seção principal + agregada), já descontada a abstenção — base B do projeto (taxa de 2022 do condado de origem de cada seção), total 11.499 sobre 16.794 aptos. Fonte: repositório hamadmkalaf/dublineleicoesfinal, data/decisoes.json ("mesas"), de saidas/dados.json (CSVs oficiais do TSE). Premissa não oficial: não é previsão do TSE.</t>
        </is>
      </c>
    </row>
    <row r="34">
      <c r="A34" s="32" t="inlineStr">
        <is>
          <t>Faixa: regra de classes do projeto (decisoes.json → "classes"): as 3 maiores urnas = Alto (vermelho); esperado ≥ 450 = Médio (amarelo); abaixo = Baixo (verde). Limiares editáveis em N34:N35.</t>
        </is>
      </c>
      <c r="M34" s="62" t="inlineStr">
        <is>
          <t>Limiar "Alto" (3ª maior urna)</t>
        </is>
      </c>
      <c r="N34" s="63">
        <f>LARGE(N2:N29,3)</f>
        <v/>
      </c>
      <c r="V34" s="62" t="inlineStr">
        <is>
          <t>Limiar "Alto" (3ª maior urna, efetivo)</t>
        </is>
      </c>
      <c r="W34" s="63">
        <f>LARGE(Q2:Q29,3)</f>
        <v/>
      </c>
    </row>
    <row r="35">
      <c r="M35" s="62" t="inlineStr">
        <is>
          <t>Limiar "Médio"</t>
        </is>
      </c>
      <c r="N35" s="64" t="n">
        <v>450</v>
      </c>
      <c r="V35" s="62" t="inlineStr">
        <is>
          <t>Limiar "Médio" (450 × efetivo/esperado)</t>
        </is>
      </c>
      <c r="W35" s="63">
        <f>ROUND(N35*Q30/N30,0)</f>
        <v/>
      </c>
    </row>
    <row r="36"/>
    <row r="37">
      <c r="A37" s="65" t="inlineStr">
        <is>
          <t>Colunas P–W: Boletins de Urna (BU) do 1º turno, 04/10/2026, Zona 001 · Local 1015 RDS Hall 2 — 28 BUs, um por urna, conferidos pela seção agregada impressa no BU. Transcritos das fotos (P e Q em azul); R = P − Q confere com o "Eleitores faltosos" impresso em todos os 28; em 3305 o comparecimento foi confirmado pela soma de votos (261 nominais + 3 brancos + 1 nulo = 265).</t>
        </is>
      </c>
    </row>
    <row r="38">
      <c r="A38" s="65" t="inlineStr">
        <is>
          <t>Aptos (BU) é menor que "Aptos na urna" (col. M) em 24 das 28 urnas, igual nas outras 4 (−74 no total: 16.720 vs 16.794) — o BU é o dado do dia; M vem dos CSVs do TSE. Faixa efetiva: mesma regra da col. O, aplicada ao comparecimento efetivo; o limiar "Médio" é a regra de 450 reescalada pela razão efetivo/esperado (premissa, editável em W35).</t>
        </is>
      </c>
    </row>
  </sheetData>
  <conditionalFormatting sqref="A2:A29">
    <cfRule type="expression" priority="2" dxfId="2">
      <formula>$O2="Alto"</formula>
    </cfRule>
    <cfRule type="expression" priority="3" dxfId="1">
      <formula>$O2="Médio"</formula>
    </cfRule>
    <cfRule type="expression" priority="4" dxfId="0">
      <formula>$O2="Baixo"</formula>
    </cfRule>
  </conditionalFormatting>
  <conditionalFormatting sqref="A2:K29">
    <cfRule type="expression" priority="8" dxfId="6">
      <formula>$B2&lt;4</formula>
    </cfRule>
  </conditionalFormatting>
  <conditionalFormatting sqref="C2:F29">
    <cfRule type="expression" priority="9" dxfId="5">
      <formula>C2="VAGO"</formula>
    </cfRule>
  </conditionalFormatting>
  <conditionalFormatting sqref="G2:G29">
    <cfRule type="expression" priority="10" dxfId="4">
      <formula>G2&lt;3</formula>
    </cfRule>
  </conditionalFormatting>
  <conditionalFormatting sqref="H2:I29">
    <cfRule type="expression" priority="11" dxfId="3">
      <formula>H2&gt;0</formula>
    </cfRule>
  </conditionalFormatting>
  <conditionalFormatting sqref="N2:O29">
    <cfRule type="expression" priority="5" dxfId="2">
      <formula>$O2="Alto"</formula>
    </cfRule>
    <cfRule type="expression" priority="6" dxfId="1">
      <formula>$O2="Médio"</formula>
    </cfRule>
    <cfRule type="expression" priority="7" dxfId="0">
      <formula>$O2="Baixo"</formula>
    </cfRule>
  </conditionalFormatting>
  <conditionalFormatting sqref="Q2:Q29">
    <cfRule type="expression" priority="11" dxfId="2">
      <formula>$W2="Alto"</formula>
    </cfRule>
    <cfRule type="expression" priority="12" dxfId="19">
      <formula>$W2="Médio"</formula>
    </cfRule>
    <cfRule type="expression" priority="13" dxfId="37">
      <formula>$W2="Baixo"</formula>
    </cfRule>
  </conditionalFormatting>
  <conditionalFormatting sqref="V2:W29">
    <cfRule type="expression" priority="14" dxfId="2">
      <formula>$W2="Alto"</formula>
    </cfRule>
    <cfRule type="expression" priority="15" dxfId="19">
      <formula>$W2="Médio"</formula>
    </cfRule>
    <cfRule type="expression" priority="16" dxfId="37">
      <formula>$W2="Baixo"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>
      <c r="A1" s="49" t="inlineStr">
        <is>
          <t>Pos.</t>
        </is>
      </c>
      <c r="B1" s="49" t="inlineStr">
        <is>
          <t>Seção</t>
        </is>
      </c>
      <c r="C1" s="49" t="inlineStr">
        <is>
          <t>Seção agregada</t>
        </is>
      </c>
      <c r="D1" s="49" t="inlineStr">
        <is>
          <t>Aptos (BU)</t>
        </is>
      </c>
      <c r="E1" s="49" t="inlineStr">
        <is>
          <t>Esperado</t>
        </is>
      </c>
      <c r="F1" s="49" t="inlineStr">
        <is>
          <t>Efetivo</t>
        </is>
      </c>
      <c r="G1" s="49" t="inlineStr">
        <is>
          <t>Taxa</t>
        </is>
      </c>
      <c r="H1" s="49" t="inlineStr">
        <is>
          <t>Efetivo − esperado</t>
        </is>
      </c>
      <c r="I1" s="49" t="inlineStr">
        <is>
          <t>Desvio</t>
        </is>
      </c>
      <c r="J1" s="49" t="inlineStr">
        <is>
          <t>Faixa efetiva</t>
        </is>
      </c>
    </row>
    <row r="2">
      <c r="A2" s="51" t="n">
        <v>1</v>
      </c>
      <c r="B2" s="51">
        <f>INDEX('Por secao'!$A$2:$A$29,MATCH($A2,'Por secao'!$V$2:$V$29,0))</f>
        <v/>
      </c>
      <c r="C2" s="51">
        <f>IF(INDEX('Por secao'!$L$2:$L$29,MATCH($A2,'Por secao'!$V$2:$V$29,0))="","—",INDEX('Por secao'!$L$2:$L$29,MATCH($A2,'Por secao'!$V$2:$V$29,0)))</f>
        <v/>
      </c>
      <c r="D2" s="52">
        <f>INDEX('Por secao'!$P$2:$P$29,MATCH($A2,'Por secao'!$V$2:$V$29,0))</f>
        <v/>
      </c>
      <c r="E2" s="52">
        <f>INDEX('Por secao'!$N$2:$N$29,MATCH($A2,'Por secao'!$V$2:$V$29,0))</f>
        <v/>
      </c>
      <c r="F2" s="52">
        <f>INDEX('Por secao'!$Q$2:$Q$29,MATCH($A2,'Por secao'!$V$2:$V$29,0))</f>
        <v/>
      </c>
      <c r="G2" s="53">
        <f>INDEX('Por secao'!$S$2:$S$29,MATCH($A2,'Por secao'!$V$2:$V$29,0))</f>
        <v/>
      </c>
      <c r="H2" s="54">
        <f>INDEX('Por secao'!$T$2:$T$29,MATCH($A2,'Por secao'!$V$2:$V$29,0))</f>
        <v/>
      </c>
      <c r="I2" s="55">
        <f>INDEX('Por secao'!$U$2:$U$29,MATCH($A2,'Por secao'!$V$2:$V$29,0))</f>
        <v/>
      </c>
      <c r="J2" s="51">
        <f>INDEX('Por secao'!$W$2:$W$29,MATCH($A2,'Por secao'!$V$2:$V$29,0))</f>
        <v/>
      </c>
    </row>
    <row r="3">
      <c r="A3" s="51" t="n">
        <v>2</v>
      </c>
      <c r="B3" s="51">
        <f>INDEX('Por secao'!$A$2:$A$29,MATCH($A3,'Por secao'!$V$2:$V$29,0))</f>
        <v/>
      </c>
      <c r="C3" s="51">
        <f>IF(INDEX('Por secao'!$L$2:$L$29,MATCH($A3,'Por secao'!$V$2:$V$29,0))="","—",INDEX('Por secao'!$L$2:$L$29,MATCH($A3,'Por secao'!$V$2:$V$29,0)))</f>
        <v/>
      </c>
      <c r="D3" s="52">
        <f>INDEX('Por secao'!$P$2:$P$29,MATCH($A3,'Por secao'!$V$2:$V$29,0))</f>
        <v/>
      </c>
      <c r="E3" s="52">
        <f>INDEX('Por secao'!$N$2:$N$29,MATCH($A3,'Por secao'!$V$2:$V$29,0))</f>
        <v/>
      </c>
      <c r="F3" s="52">
        <f>INDEX('Por secao'!$Q$2:$Q$29,MATCH($A3,'Por secao'!$V$2:$V$29,0))</f>
        <v/>
      </c>
      <c r="G3" s="53">
        <f>INDEX('Por secao'!$S$2:$S$29,MATCH($A3,'Por secao'!$V$2:$V$29,0))</f>
        <v/>
      </c>
      <c r="H3" s="54">
        <f>INDEX('Por secao'!$T$2:$T$29,MATCH($A3,'Por secao'!$V$2:$V$29,0))</f>
        <v/>
      </c>
      <c r="I3" s="55">
        <f>INDEX('Por secao'!$U$2:$U$29,MATCH($A3,'Por secao'!$V$2:$V$29,0))</f>
        <v/>
      </c>
      <c r="J3" s="51">
        <f>INDEX('Por secao'!$W$2:$W$29,MATCH($A3,'Por secao'!$V$2:$V$29,0))</f>
        <v/>
      </c>
    </row>
    <row r="4">
      <c r="A4" s="51" t="n">
        <v>3</v>
      </c>
      <c r="B4" s="51">
        <f>INDEX('Por secao'!$A$2:$A$29,MATCH($A4,'Por secao'!$V$2:$V$29,0))</f>
        <v/>
      </c>
      <c r="C4" s="51">
        <f>IF(INDEX('Por secao'!$L$2:$L$29,MATCH($A4,'Por secao'!$V$2:$V$29,0))="","—",INDEX('Por secao'!$L$2:$L$29,MATCH($A4,'Por secao'!$V$2:$V$29,0)))</f>
        <v/>
      </c>
      <c r="D4" s="52">
        <f>INDEX('Por secao'!$P$2:$P$29,MATCH($A4,'Por secao'!$V$2:$V$29,0))</f>
        <v/>
      </c>
      <c r="E4" s="52">
        <f>INDEX('Por secao'!$N$2:$N$29,MATCH($A4,'Por secao'!$V$2:$V$29,0))</f>
        <v/>
      </c>
      <c r="F4" s="52">
        <f>INDEX('Por secao'!$Q$2:$Q$29,MATCH($A4,'Por secao'!$V$2:$V$29,0))</f>
        <v/>
      </c>
      <c r="G4" s="53">
        <f>INDEX('Por secao'!$S$2:$S$29,MATCH($A4,'Por secao'!$V$2:$V$29,0))</f>
        <v/>
      </c>
      <c r="H4" s="54">
        <f>INDEX('Por secao'!$T$2:$T$29,MATCH($A4,'Por secao'!$V$2:$V$29,0))</f>
        <v/>
      </c>
      <c r="I4" s="55">
        <f>INDEX('Por secao'!$U$2:$U$29,MATCH($A4,'Por secao'!$V$2:$V$29,0))</f>
        <v/>
      </c>
      <c r="J4" s="51">
        <f>INDEX('Por secao'!$W$2:$W$29,MATCH($A4,'Por secao'!$V$2:$V$29,0))</f>
        <v/>
      </c>
    </row>
    <row r="5">
      <c r="A5" s="51" t="n">
        <v>4</v>
      </c>
      <c r="B5" s="51">
        <f>INDEX('Por secao'!$A$2:$A$29,MATCH($A5,'Por secao'!$V$2:$V$29,0))</f>
        <v/>
      </c>
      <c r="C5" s="51">
        <f>IF(INDEX('Por secao'!$L$2:$L$29,MATCH($A5,'Por secao'!$V$2:$V$29,0))="","—",INDEX('Por secao'!$L$2:$L$29,MATCH($A5,'Por secao'!$V$2:$V$29,0)))</f>
        <v/>
      </c>
      <c r="D5" s="52">
        <f>INDEX('Por secao'!$P$2:$P$29,MATCH($A5,'Por secao'!$V$2:$V$29,0))</f>
        <v/>
      </c>
      <c r="E5" s="52">
        <f>INDEX('Por secao'!$N$2:$N$29,MATCH($A5,'Por secao'!$V$2:$V$29,0))</f>
        <v/>
      </c>
      <c r="F5" s="52">
        <f>INDEX('Por secao'!$Q$2:$Q$29,MATCH($A5,'Por secao'!$V$2:$V$29,0))</f>
        <v/>
      </c>
      <c r="G5" s="53">
        <f>INDEX('Por secao'!$S$2:$S$29,MATCH($A5,'Por secao'!$V$2:$V$29,0))</f>
        <v/>
      </c>
      <c r="H5" s="54">
        <f>INDEX('Por secao'!$T$2:$T$29,MATCH($A5,'Por secao'!$V$2:$V$29,0))</f>
        <v/>
      </c>
      <c r="I5" s="55">
        <f>INDEX('Por secao'!$U$2:$U$29,MATCH($A5,'Por secao'!$V$2:$V$29,0))</f>
        <v/>
      </c>
      <c r="J5" s="51">
        <f>INDEX('Por secao'!$W$2:$W$29,MATCH($A5,'Por secao'!$V$2:$V$29,0))</f>
        <v/>
      </c>
    </row>
    <row r="6">
      <c r="A6" s="51" t="n">
        <v>5</v>
      </c>
      <c r="B6" s="51">
        <f>INDEX('Por secao'!$A$2:$A$29,MATCH($A6,'Por secao'!$V$2:$V$29,0))</f>
        <v/>
      </c>
      <c r="C6" s="51">
        <f>IF(INDEX('Por secao'!$L$2:$L$29,MATCH($A6,'Por secao'!$V$2:$V$29,0))="","—",INDEX('Por secao'!$L$2:$L$29,MATCH($A6,'Por secao'!$V$2:$V$29,0)))</f>
        <v/>
      </c>
      <c r="D6" s="52">
        <f>INDEX('Por secao'!$P$2:$P$29,MATCH($A6,'Por secao'!$V$2:$V$29,0))</f>
        <v/>
      </c>
      <c r="E6" s="52">
        <f>INDEX('Por secao'!$N$2:$N$29,MATCH($A6,'Por secao'!$V$2:$V$29,0))</f>
        <v/>
      </c>
      <c r="F6" s="52">
        <f>INDEX('Por secao'!$Q$2:$Q$29,MATCH($A6,'Por secao'!$V$2:$V$29,0))</f>
        <v/>
      </c>
      <c r="G6" s="53">
        <f>INDEX('Por secao'!$S$2:$S$29,MATCH($A6,'Por secao'!$V$2:$V$29,0))</f>
        <v/>
      </c>
      <c r="H6" s="54">
        <f>INDEX('Por secao'!$T$2:$T$29,MATCH($A6,'Por secao'!$V$2:$V$29,0))</f>
        <v/>
      </c>
      <c r="I6" s="55">
        <f>INDEX('Por secao'!$U$2:$U$29,MATCH($A6,'Por secao'!$V$2:$V$29,0))</f>
        <v/>
      </c>
      <c r="J6" s="51">
        <f>INDEX('Por secao'!$W$2:$W$29,MATCH($A6,'Por secao'!$V$2:$V$29,0))</f>
        <v/>
      </c>
    </row>
    <row r="7">
      <c r="A7" s="51" t="n">
        <v>6</v>
      </c>
      <c r="B7" s="51">
        <f>INDEX('Por secao'!$A$2:$A$29,MATCH($A7,'Por secao'!$V$2:$V$29,0))</f>
        <v/>
      </c>
      <c r="C7" s="51">
        <f>IF(INDEX('Por secao'!$L$2:$L$29,MATCH($A7,'Por secao'!$V$2:$V$29,0))="","—",INDEX('Por secao'!$L$2:$L$29,MATCH($A7,'Por secao'!$V$2:$V$29,0)))</f>
        <v/>
      </c>
      <c r="D7" s="52">
        <f>INDEX('Por secao'!$P$2:$P$29,MATCH($A7,'Por secao'!$V$2:$V$29,0))</f>
        <v/>
      </c>
      <c r="E7" s="52">
        <f>INDEX('Por secao'!$N$2:$N$29,MATCH($A7,'Por secao'!$V$2:$V$29,0))</f>
        <v/>
      </c>
      <c r="F7" s="52">
        <f>INDEX('Por secao'!$Q$2:$Q$29,MATCH($A7,'Por secao'!$V$2:$V$29,0))</f>
        <v/>
      </c>
      <c r="G7" s="53">
        <f>INDEX('Por secao'!$S$2:$S$29,MATCH($A7,'Por secao'!$V$2:$V$29,0))</f>
        <v/>
      </c>
      <c r="H7" s="54">
        <f>INDEX('Por secao'!$T$2:$T$29,MATCH($A7,'Por secao'!$V$2:$V$29,0))</f>
        <v/>
      </c>
      <c r="I7" s="55">
        <f>INDEX('Por secao'!$U$2:$U$29,MATCH($A7,'Por secao'!$V$2:$V$29,0))</f>
        <v/>
      </c>
      <c r="J7" s="51">
        <f>INDEX('Por secao'!$W$2:$W$29,MATCH($A7,'Por secao'!$V$2:$V$29,0))</f>
        <v/>
      </c>
    </row>
    <row r="8">
      <c r="A8" s="51" t="n">
        <v>7</v>
      </c>
      <c r="B8" s="51">
        <f>INDEX('Por secao'!$A$2:$A$29,MATCH($A8,'Por secao'!$V$2:$V$29,0))</f>
        <v/>
      </c>
      <c r="C8" s="51">
        <f>IF(INDEX('Por secao'!$L$2:$L$29,MATCH($A8,'Por secao'!$V$2:$V$29,0))="","—",INDEX('Por secao'!$L$2:$L$29,MATCH($A8,'Por secao'!$V$2:$V$29,0)))</f>
        <v/>
      </c>
      <c r="D8" s="52">
        <f>INDEX('Por secao'!$P$2:$P$29,MATCH($A8,'Por secao'!$V$2:$V$29,0))</f>
        <v/>
      </c>
      <c r="E8" s="52">
        <f>INDEX('Por secao'!$N$2:$N$29,MATCH($A8,'Por secao'!$V$2:$V$29,0))</f>
        <v/>
      </c>
      <c r="F8" s="52">
        <f>INDEX('Por secao'!$Q$2:$Q$29,MATCH($A8,'Por secao'!$V$2:$V$29,0))</f>
        <v/>
      </c>
      <c r="G8" s="53">
        <f>INDEX('Por secao'!$S$2:$S$29,MATCH($A8,'Por secao'!$V$2:$V$29,0))</f>
        <v/>
      </c>
      <c r="H8" s="54">
        <f>INDEX('Por secao'!$T$2:$T$29,MATCH($A8,'Por secao'!$V$2:$V$29,0))</f>
        <v/>
      </c>
      <c r="I8" s="55">
        <f>INDEX('Por secao'!$U$2:$U$29,MATCH($A8,'Por secao'!$V$2:$V$29,0))</f>
        <v/>
      </c>
      <c r="J8" s="51">
        <f>INDEX('Por secao'!$W$2:$W$29,MATCH($A8,'Por secao'!$V$2:$V$29,0))</f>
        <v/>
      </c>
    </row>
    <row r="9">
      <c r="A9" s="51" t="n">
        <v>8</v>
      </c>
      <c r="B9" s="51">
        <f>INDEX('Por secao'!$A$2:$A$29,MATCH($A9,'Por secao'!$V$2:$V$29,0))</f>
        <v/>
      </c>
      <c r="C9" s="51">
        <f>IF(INDEX('Por secao'!$L$2:$L$29,MATCH($A9,'Por secao'!$V$2:$V$29,0))="","—",INDEX('Por secao'!$L$2:$L$29,MATCH($A9,'Por secao'!$V$2:$V$29,0)))</f>
        <v/>
      </c>
      <c r="D9" s="52">
        <f>INDEX('Por secao'!$P$2:$P$29,MATCH($A9,'Por secao'!$V$2:$V$29,0))</f>
        <v/>
      </c>
      <c r="E9" s="52">
        <f>INDEX('Por secao'!$N$2:$N$29,MATCH($A9,'Por secao'!$V$2:$V$29,0))</f>
        <v/>
      </c>
      <c r="F9" s="52">
        <f>INDEX('Por secao'!$Q$2:$Q$29,MATCH($A9,'Por secao'!$V$2:$V$29,0))</f>
        <v/>
      </c>
      <c r="G9" s="53">
        <f>INDEX('Por secao'!$S$2:$S$29,MATCH($A9,'Por secao'!$V$2:$V$29,0))</f>
        <v/>
      </c>
      <c r="H9" s="54">
        <f>INDEX('Por secao'!$T$2:$T$29,MATCH($A9,'Por secao'!$V$2:$V$29,0))</f>
        <v/>
      </c>
      <c r="I9" s="55">
        <f>INDEX('Por secao'!$U$2:$U$29,MATCH($A9,'Por secao'!$V$2:$V$29,0))</f>
        <v/>
      </c>
      <c r="J9" s="51">
        <f>INDEX('Por secao'!$W$2:$W$29,MATCH($A9,'Por secao'!$V$2:$V$29,0))</f>
        <v/>
      </c>
    </row>
    <row r="10">
      <c r="A10" s="51" t="n">
        <v>9</v>
      </c>
      <c r="B10" s="51">
        <f>INDEX('Por secao'!$A$2:$A$29,MATCH($A10,'Por secao'!$V$2:$V$29,0))</f>
        <v/>
      </c>
      <c r="C10" s="51">
        <f>IF(INDEX('Por secao'!$L$2:$L$29,MATCH($A10,'Por secao'!$V$2:$V$29,0))="","—",INDEX('Por secao'!$L$2:$L$29,MATCH($A10,'Por secao'!$V$2:$V$29,0)))</f>
        <v/>
      </c>
      <c r="D10" s="52">
        <f>INDEX('Por secao'!$P$2:$P$29,MATCH($A10,'Por secao'!$V$2:$V$29,0))</f>
        <v/>
      </c>
      <c r="E10" s="52">
        <f>INDEX('Por secao'!$N$2:$N$29,MATCH($A10,'Por secao'!$V$2:$V$29,0))</f>
        <v/>
      </c>
      <c r="F10" s="52">
        <f>INDEX('Por secao'!$Q$2:$Q$29,MATCH($A10,'Por secao'!$V$2:$V$29,0))</f>
        <v/>
      </c>
      <c r="G10" s="53">
        <f>INDEX('Por secao'!$S$2:$S$29,MATCH($A10,'Por secao'!$V$2:$V$29,0))</f>
        <v/>
      </c>
      <c r="H10" s="54">
        <f>INDEX('Por secao'!$T$2:$T$29,MATCH($A10,'Por secao'!$V$2:$V$29,0))</f>
        <v/>
      </c>
      <c r="I10" s="55">
        <f>INDEX('Por secao'!$U$2:$U$29,MATCH($A10,'Por secao'!$V$2:$V$29,0))</f>
        <v/>
      </c>
      <c r="J10" s="51">
        <f>INDEX('Por secao'!$W$2:$W$29,MATCH($A10,'Por secao'!$V$2:$V$29,0))</f>
        <v/>
      </c>
    </row>
    <row r="11">
      <c r="A11" s="51" t="n">
        <v>10</v>
      </c>
      <c r="B11" s="51">
        <f>INDEX('Por secao'!$A$2:$A$29,MATCH($A11,'Por secao'!$V$2:$V$29,0))</f>
        <v/>
      </c>
      <c r="C11" s="51">
        <f>IF(INDEX('Por secao'!$L$2:$L$29,MATCH($A11,'Por secao'!$V$2:$V$29,0))="","—",INDEX('Por secao'!$L$2:$L$29,MATCH($A11,'Por secao'!$V$2:$V$29,0)))</f>
        <v/>
      </c>
      <c r="D11" s="52">
        <f>INDEX('Por secao'!$P$2:$P$29,MATCH($A11,'Por secao'!$V$2:$V$29,0))</f>
        <v/>
      </c>
      <c r="E11" s="52">
        <f>INDEX('Por secao'!$N$2:$N$29,MATCH($A11,'Por secao'!$V$2:$V$29,0))</f>
        <v/>
      </c>
      <c r="F11" s="52">
        <f>INDEX('Por secao'!$Q$2:$Q$29,MATCH($A11,'Por secao'!$V$2:$V$29,0))</f>
        <v/>
      </c>
      <c r="G11" s="53">
        <f>INDEX('Por secao'!$S$2:$S$29,MATCH($A11,'Por secao'!$V$2:$V$29,0))</f>
        <v/>
      </c>
      <c r="H11" s="54">
        <f>INDEX('Por secao'!$T$2:$T$29,MATCH($A11,'Por secao'!$V$2:$V$29,0))</f>
        <v/>
      </c>
      <c r="I11" s="55">
        <f>INDEX('Por secao'!$U$2:$U$29,MATCH($A11,'Por secao'!$V$2:$V$29,0))</f>
        <v/>
      </c>
      <c r="J11" s="51">
        <f>INDEX('Por secao'!$W$2:$W$29,MATCH($A11,'Por secao'!$V$2:$V$29,0))</f>
        <v/>
      </c>
    </row>
    <row r="12">
      <c r="A12" s="51" t="n">
        <v>11</v>
      </c>
      <c r="B12" s="51">
        <f>INDEX('Por secao'!$A$2:$A$29,MATCH($A12,'Por secao'!$V$2:$V$29,0))</f>
        <v/>
      </c>
      <c r="C12" s="51">
        <f>IF(INDEX('Por secao'!$L$2:$L$29,MATCH($A12,'Por secao'!$V$2:$V$29,0))="","—",INDEX('Por secao'!$L$2:$L$29,MATCH($A12,'Por secao'!$V$2:$V$29,0)))</f>
        <v/>
      </c>
      <c r="D12" s="52">
        <f>INDEX('Por secao'!$P$2:$P$29,MATCH($A12,'Por secao'!$V$2:$V$29,0))</f>
        <v/>
      </c>
      <c r="E12" s="52">
        <f>INDEX('Por secao'!$N$2:$N$29,MATCH($A12,'Por secao'!$V$2:$V$29,0))</f>
        <v/>
      </c>
      <c r="F12" s="52">
        <f>INDEX('Por secao'!$Q$2:$Q$29,MATCH($A12,'Por secao'!$V$2:$V$29,0))</f>
        <v/>
      </c>
      <c r="G12" s="53">
        <f>INDEX('Por secao'!$S$2:$S$29,MATCH($A12,'Por secao'!$V$2:$V$29,0))</f>
        <v/>
      </c>
      <c r="H12" s="54">
        <f>INDEX('Por secao'!$T$2:$T$29,MATCH($A12,'Por secao'!$V$2:$V$29,0))</f>
        <v/>
      </c>
      <c r="I12" s="55">
        <f>INDEX('Por secao'!$U$2:$U$29,MATCH($A12,'Por secao'!$V$2:$V$29,0))</f>
        <v/>
      </c>
      <c r="J12" s="51">
        <f>INDEX('Por secao'!$W$2:$W$29,MATCH($A12,'Por secao'!$V$2:$V$29,0))</f>
        <v/>
      </c>
    </row>
    <row r="13">
      <c r="A13" s="51" t="n">
        <v>12</v>
      </c>
      <c r="B13" s="51">
        <f>INDEX('Por secao'!$A$2:$A$29,MATCH($A13,'Por secao'!$V$2:$V$29,0))</f>
        <v/>
      </c>
      <c r="C13" s="51">
        <f>IF(INDEX('Por secao'!$L$2:$L$29,MATCH($A13,'Por secao'!$V$2:$V$29,0))="","—",INDEX('Por secao'!$L$2:$L$29,MATCH($A13,'Por secao'!$V$2:$V$29,0)))</f>
        <v/>
      </c>
      <c r="D13" s="52">
        <f>INDEX('Por secao'!$P$2:$P$29,MATCH($A13,'Por secao'!$V$2:$V$29,0))</f>
        <v/>
      </c>
      <c r="E13" s="52">
        <f>INDEX('Por secao'!$N$2:$N$29,MATCH($A13,'Por secao'!$V$2:$V$29,0))</f>
        <v/>
      </c>
      <c r="F13" s="52">
        <f>INDEX('Por secao'!$Q$2:$Q$29,MATCH($A13,'Por secao'!$V$2:$V$29,0))</f>
        <v/>
      </c>
      <c r="G13" s="53">
        <f>INDEX('Por secao'!$S$2:$S$29,MATCH($A13,'Por secao'!$V$2:$V$29,0))</f>
        <v/>
      </c>
      <c r="H13" s="54">
        <f>INDEX('Por secao'!$T$2:$T$29,MATCH($A13,'Por secao'!$V$2:$V$29,0))</f>
        <v/>
      </c>
      <c r="I13" s="55">
        <f>INDEX('Por secao'!$U$2:$U$29,MATCH($A13,'Por secao'!$V$2:$V$29,0))</f>
        <v/>
      </c>
      <c r="J13" s="51">
        <f>INDEX('Por secao'!$W$2:$W$29,MATCH($A13,'Por secao'!$V$2:$V$29,0))</f>
        <v/>
      </c>
    </row>
    <row r="14">
      <c r="A14" s="51" t="n">
        <v>13</v>
      </c>
      <c r="B14" s="51">
        <f>INDEX('Por secao'!$A$2:$A$29,MATCH($A14,'Por secao'!$V$2:$V$29,0))</f>
        <v/>
      </c>
      <c r="C14" s="51">
        <f>IF(INDEX('Por secao'!$L$2:$L$29,MATCH($A14,'Por secao'!$V$2:$V$29,0))="","—",INDEX('Por secao'!$L$2:$L$29,MATCH($A14,'Por secao'!$V$2:$V$29,0)))</f>
        <v/>
      </c>
      <c r="D14" s="52">
        <f>INDEX('Por secao'!$P$2:$P$29,MATCH($A14,'Por secao'!$V$2:$V$29,0))</f>
        <v/>
      </c>
      <c r="E14" s="52">
        <f>INDEX('Por secao'!$N$2:$N$29,MATCH($A14,'Por secao'!$V$2:$V$29,0))</f>
        <v/>
      </c>
      <c r="F14" s="52">
        <f>INDEX('Por secao'!$Q$2:$Q$29,MATCH($A14,'Por secao'!$V$2:$V$29,0))</f>
        <v/>
      </c>
      <c r="G14" s="53">
        <f>INDEX('Por secao'!$S$2:$S$29,MATCH($A14,'Por secao'!$V$2:$V$29,0))</f>
        <v/>
      </c>
      <c r="H14" s="54">
        <f>INDEX('Por secao'!$T$2:$T$29,MATCH($A14,'Por secao'!$V$2:$V$29,0))</f>
        <v/>
      </c>
      <c r="I14" s="55">
        <f>INDEX('Por secao'!$U$2:$U$29,MATCH($A14,'Por secao'!$V$2:$V$29,0))</f>
        <v/>
      </c>
      <c r="J14" s="51">
        <f>INDEX('Por secao'!$W$2:$W$29,MATCH($A14,'Por secao'!$V$2:$V$29,0))</f>
        <v/>
      </c>
    </row>
    <row r="15">
      <c r="A15" s="51" t="n">
        <v>14</v>
      </c>
      <c r="B15" s="51">
        <f>INDEX('Por secao'!$A$2:$A$29,MATCH($A15,'Por secao'!$V$2:$V$29,0))</f>
        <v/>
      </c>
      <c r="C15" s="51">
        <f>IF(INDEX('Por secao'!$L$2:$L$29,MATCH($A15,'Por secao'!$V$2:$V$29,0))="","—",INDEX('Por secao'!$L$2:$L$29,MATCH($A15,'Por secao'!$V$2:$V$29,0)))</f>
        <v/>
      </c>
      <c r="D15" s="52">
        <f>INDEX('Por secao'!$P$2:$P$29,MATCH($A15,'Por secao'!$V$2:$V$29,0))</f>
        <v/>
      </c>
      <c r="E15" s="52">
        <f>INDEX('Por secao'!$N$2:$N$29,MATCH($A15,'Por secao'!$V$2:$V$29,0))</f>
        <v/>
      </c>
      <c r="F15" s="52">
        <f>INDEX('Por secao'!$Q$2:$Q$29,MATCH($A15,'Por secao'!$V$2:$V$29,0))</f>
        <v/>
      </c>
      <c r="G15" s="53">
        <f>INDEX('Por secao'!$S$2:$S$29,MATCH($A15,'Por secao'!$V$2:$V$29,0))</f>
        <v/>
      </c>
      <c r="H15" s="54">
        <f>INDEX('Por secao'!$T$2:$T$29,MATCH($A15,'Por secao'!$V$2:$V$29,0))</f>
        <v/>
      </c>
      <c r="I15" s="55">
        <f>INDEX('Por secao'!$U$2:$U$29,MATCH($A15,'Por secao'!$V$2:$V$29,0))</f>
        <v/>
      </c>
      <c r="J15" s="51">
        <f>INDEX('Por secao'!$W$2:$W$29,MATCH($A15,'Por secao'!$V$2:$V$29,0))</f>
        <v/>
      </c>
    </row>
    <row r="16">
      <c r="A16" s="51" t="n">
        <v>15</v>
      </c>
      <c r="B16" s="51">
        <f>INDEX('Por secao'!$A$2:$A$29,MATCH($A16,'Por secao'!$V$2:$V$29,0))</f>
        <v/>
      </c>
      <c r="C16" s="51">
        <f>IF(INDEX('Por secao'!$L$2:$L$29,MATCH($A16,'Por secao'!$V$2:$V$29,0))="","—",INDEX('Por secao'!$L$2:$L$29,MATCH($A16,'Por secao'!$V$2:$V$29,0)))</f>
        <v/>
      </c>
      <c r="D16" s="52">
        <f>INDEX('Por secao'!$P$2:$P$29,MATCH($A16,'Por secao'!$V$2:$V$29,0))</f>
        <v/>
      </c>
      <c r="E16" s="52">
        <f>INDEX('Por secao'!$N$2:$N$29,MATCH($A16,'Por secao'!$V$2:$V$29,0))</f>
        <v/>
      </c>
      <c r="F16" s="52">
        <f>INDEX('Por secao'!$Q$2:$Q$29,MATCH($A16,'Por secao'!$V$2:$V$29,0))</f>
        <v/>
      </c>
      <c r="G16" s="53">
        <f>INDEX('Por secao'!$S$2:$S$29,MATCH($A16,'Por secao'!$V$2:$V$29,0))</f>
        <v/>
      </c>
      <c r="H16" s="54">
        <f>INDEX('Por secao'!$T$2:$T$29,MATCH($A16,'Por secao'!$V$2:$V$29,0))</f>
        <v/>
      </c>
      <c r="I16" s="55">
        <f>INDEX('Por secao'!$U$2:$U$29,MATCH($A16,'Por secao'!$V$2:$V$29,0))</f>
        <v/>
      </c>
      <c r="J16" s="51">
        <f>INDEX('Por secao'!$W$2:$W$29,MATCH($A16,'Por secao'!$V$2:$V$29,0))</f>
        <v/>
      </c>
    </row>
    <row r="17">
      <c r="A17" s="51" t="n">
        <v>16</v>
      </c>
      <c r="B17" s="51">
        <f>INDEX('Por secao'!$A$2:$A$29,MATCH($A17,'Por secao'!$V$2:$V$29,0))</f>
        <v/>
      </c>
      <c r="C17" s="51">
        <f>IF(INDEX('Por secao'!$L$2:$L$29,MATCH($A17,'Por secao'!$V$2:$V$29,0))="","—",INDEX('Por secao'!$L$2:$L$29,MATCH($A17,'Por secao'!$V$2:$V$29,0)))</f>
        <v/>
      </c>
      <c r="D17" s="52">
        <f>INDEX('Por secao'!$P$2:$P$29,MATCH($A17,'Por secao'!$V$2:$V$29,0))</f>
        <v/>
      </c>
      <c r="E17" s="52">
        <f>INDEX('Por secao'!$N$2:$N$29,MATCH($A17,'Por secao'!$V$2:$V$29,0))</f>
        <v/>
      </c>
      <c r="F17" s="52">
        <f>INDEX('Por secao'!$Q$2:$Q$29,MATCH($A17,'Por secao'!$V$2:$V$29,0))</f>
        <v/>
      </c>
      <c r="G17" s="53">
        <f>INDEX('Por secao'!$S$2:$S$29,MATCH($A17,'Por secao'!$V$2:$V$29,0))</f>
        <v/>
      </c>
      <c r="H17" s="54">
        <f>INDEX('Por secao'!$T$2:$T$29,MATCH($A17,'Por secao'!$V$2:$V$29,0))</f>
        <v/>
      </c>
      <c r="I17" s="55">
        <f>INDEX('Por secao'!$U$2:$U$29,MATCH($A17,'Por secao'!$V$2:$V$29,0))</f>
        <v/>
      </c>
      <c r="J17" s="51">
        <f>INDEX('Por secao'!$W$2:$W$29,MATCH($A17,'Por secao'!$V$2:$V$29,0))</f>
        <v/>
      </c>
    </row>
    <row r="18">
      <c r="A18" s="51" t="n">
        <v>17</v>
      </c>
      <c r="B18" s="51">
        <f>INDEX('Por secao'!$A$2:$A$29,MATCH($A18,'Por secao'!$V$2:$V$29,0))</f>
        <v/>
      </c>
      <c r="C18" s="51">
        <f>IF(INDEX('Por secao'!$L$2:$L$29,MATCH($A18,'Por secao'!$V$2:$V$29,0))="","—",INDEX('Por secao'!$L$2:$L$29,MATCH($A18,'Por secao'!$V$2:$V$29,0)))</f>
        <v/>
      </c>
      <c r="D18" s="52">
        <f>INDEX('Por secao'!$P$2:$P$29,MATCH($A18,'Por secao'!$V$2:$V$29,0))</f>
        <v/>
      </c>
      <c r="E18" s="52">
        <f>INDEX('Por secao'!$N$2:$N$29,MATCH($A18,'Por secao'!$V$2:$V$29,0))</f>
        <v/>
      </c>
      <c r="F18" s="52">
        <f>INDEX('Por secao'!$Q$2:$Q$29,MATCH($A18,'Por secao'!$V$2:$V$29,0))</f>
        <v/>
      </c>
      <c r="G18" s="53">
        <f>INDEX('Por secao'!$S$2:$S$29,MATCH($A18,'Por secao'!$V$2:$V$29,0))</f>
        <v/>
      </c>
      <c r="H18" s="54">
        <f>INDEX('Por secao'!$T$2:$T$29,MATCH($A18,'Por secao'!$V$2:$V$29,0))</f>
        <v/>
      </c>
      <c r="I18" s="55">
        <f>INDEX('Por secao'!$U$2:$U$29,MATCH($A18,'Por secao'!$V$2:$V$29,0))</f>
        <v/>
      </c>
      <c r="J18" s="51">
        <f>INDEX('Por secao'!$W$2:$W$29,MATCH($A18,'Por secao'!$V$2:$V$29,0))</f>
        <v/>
      </c>
    </row>
    <row r="19">
      <c r="A19" s="51" t="n">
        <v>18</v>
      </c>
      <c r="B19" s="51">
        <f>INDEX('Por secao'!$A$2:$A$29,MATCH($A19,'Por secao'!$V$2:$V$29,0))</f>
        <v/>
      </c>
      <c r="C19" s="51">
        <f>IF(INDEX('Por secao'!$L$2:$L$29,MATCH($A19,'Por secao'!$V$2:$V$29,0))="","—",INDEX('Por secao'!$L$2:$L$29,MATCH($A19,'Por secao'!$V$2:$V$29,0)))</f>
        <v/>
      </c>
      <c r="D19" s="52">
        <f>INDEX('Por secao'!$P$2:$P$29,MATCH($A19,'Por secao'!$V$2:$V$29,0))</f>
        <v/>
      </c>
      <c r="E19" s="52">
        <f>INDEX('Por secao'!$N$2:$N$29,MATCH($A19,'Por secao'!$V$2:$V$29,0))</f>
        <v/>
      </c>
      <c r="F19" s="52">
        <f>INDEX('Por secao'!$Q$2:$Q$29,MATCH($A19,'Por secao'!$V$2:$V$29,0))</f>
        <v/>
      </c>
      <c r="G19" s="53">
        <f>INDEX('Por secao'!$S$2:$S$29,MATCH($A19,'Por secao'!$V$2:$V$29,0))</f>
        <v/>
      </c>
      <c r="H19" s="54">
        <f>INDEX('Por secao'!$T$2:$T$29,MATCH($A19,'Por secao'!$V$2:$V$29,0))</f>
        <v/>
      </c>
      <c r="I19" s="55">
        <f>INDEX('Por secao'!$U$2:$U$29,MATCH($A19,'Por secao'!$V$2:$V$29,0))</f>
        <v/>
      </c>
      <c r="J19" s="51">
        <f>INDEX('Por secao'!$W$2:$W$29,MATCH($A19,'Por secao'!$V$2:$V$29,0))</f>
        <v/>
      </c>
    </row>
    <row r="20">
      <c r="A20" s="51" t="n">
        <v>19</v>
      </c>
      <c r="B20" s="51">
        <f>INDEX('Por secao'!$A$2:$A$29,MATCH($A20,'Por secao'!$V$2:$V$29,0))</f>
        <v/>
      </c>
      <c r="C20" s="51">
        <f>IF(INDEX('Por secao'!$L$2:$L$29,MATCH($A20,'Por secao'!$V$2:$V$29,0))="","—",INDEX('Por secao'!$L$2:$L$29,MATCH($A20,'Por secao'!$V$2:$V$29,0)))</f>
        <v/>
      </c>
      <c r="D20" s="52">
        <f>INDEX('Por secao'!$P$2:$P$29,MATCH($A20,'Por secao'!$V$2:$V$29,0))</f>
        <v/>
      </c>
      <c r="E20" s="52">
        <f>INDEX('Por secao'!$N$2:$N$29,MATCH($A20,'Por secao'!$V$2:$V$29,0))</f>
        <v/>
      </c>
      <c r="F20" s="52">
        <f>INDEX('Por secao'!$Q$2:$Q$29,MATCH($A20,'Por secao'!$V$2:$V$29,0))</f>
        <v/>
      </c>
      <c r="G20" s="53">
        <f>INDEX('Por secao'!$S$2:$S$29,MATCH($A20,'Por secao'!$V$2:$V$29,0))</f>
        <v/>
      </c>
      <c r="H20" s="54">
        <f>INDEX('Por secao'!$T$2:$T$29,MATCH($A20,'Por secao'!$V$2:$V$29,0))</f>
        <v/>
      </c>
      <c r="I20" s="55">
        <f>INDEX('Por secao'!$U$2:$U$29,MATCH($A20,'Por secao'!$V$2:$V$29,0))</f>
        <v/>
      </c>
      <c r="J20" s="51">
        <f>INDEX('Por secao'!$W$2:$W$29,MATCH($A20,'Por secao'!$V$2:$V$29,0))</f>
        <v/>
      </c>
    </row>
    <row r="21">
      <c r="A21" s="51" t="n">
        <v>20</v>
      </c>
      <c r="B21" s="51">
        <f>INDEX('Por secao'!$A$2:$A$29,MATCH($A21,'Por secao'!$V$2:$V$29,0))</f>
        <v/>
      </c>
      <c r="C21" s="51">
        <f>IF(INDEX('Por secao'!$L$2:$L$29,MATCH($A21,'Por secao'!$V$2:$V$29,0))="","—",INDEX('Por secao'!$L$2:$L$29,MATCH($A21,'Por secao'!$V$2:$V$29,0)))</f>
        <v/>
      </c>
      <c r="D21" s="52">
        <f>INDEX('Por secao'!$P$2:$P$29,MATCH($A21,'Por secao'!$V$2:$V$29,0))</f>
        <v/>
      </c>
      <c r="E21" s="52">
        <f>INDEX('Por secao'!$N$2:$N$29,MATCH($A21,'Por secao'!$V$2:$V$29,0))</f>
        <v/>
      </c>
      <c r="F21" s="52">
        <f>INDEX('Por secao'!$Q$2:$Q$29,MATCH($A21,'Por secao'!$V$2:$V$29,0))</f>
        <v/>
      </c>
      <c r="G21" s="53">
        <f>INDEX('Por secao'!$S$2:$S$29,MATCH($A21,'Por secao'!$V$2:$V$29,0))</f>
        <v/>
      </c>
      <c r="H21" s="54">
        <f>INDEX('Por secao'!$T$2:$T$29,MATCH($A21,'Por secao'!$V$2:$V$29,0))</f>
        <v/>
      </c>
      <c r="I21" s="55">
        <f>INDEX('Por secao'!$U$2:$U$29,MATCH($A21,'Por secao'!$V$2:$V$29,0))</f>
        <v/>
      </c>
      <c r="J21" s="51">
        <f>INDEX('Por secao'!$W$2:$W$29,MATCH($A21,'Por secao'!$V$2:$V$29,0))</f>
        <v/>
      </c>
    </row>
    <row r="22">
      <c r="A22" s="51" t="n">
        <v>21</v>
      </c>
      <c r="B22" s="51">
        <f>INDEX('Por secao'!$A$2:$A$29,MATCH($A22,'Por secao'!$V$2:$V$29,0))</f>
        <v/>
      </c>
      <c r="C22" s="51">
        <f>IF(INDEX('Por secao'!$L$2:$L$29,MATCH($A22,'Por secao'!$V$2:$V$29,0))="","—",INDEX('Por secao'!$L$2:$L$29,MATCH($A22,'Por secao'!$V$2:$V$29,0)))</f>
        <v/>
      </c>
      <c r="D22" s="52">
        <f>INDEX('Por secao'!$P$2:$P$29,MATCH($A22,'Por secao'!$V$2:$V$29,0))</f>
        <v/>
      </c>
      <c r="E22" s="52">
        <f>INDEX('Por secao'!$N$2:$N$29,MATCH($A22,'Por secao'!$V$2:$V$29,0))</f>
        <v/>
      </c>
      <c r="F22" s="52">
        <f>INDEX('Por secao'!$Q$2:$Q$29,MATCH($A22,'Por secao'!$V$2:$V$29,0))</f>
        <v/>
      </c>
      <c r="G22" s="53">
        <f>INDEX('Por secao'!$S$2:$S$29,MATCH($A22,'Por secao'!$V$2:$V$29,0))</f>
        <v/>
      </c>
      <c r="H22" s="54">
        <f>INDEX('Por secao'!$T$2:$T$29,MATCH($A22,'Por secao'!$V$2:$V$29,0))</f>
        <v/>
      </c>
      <c r="I22" s="55">
        <f>INDEX('Por secao'!$U$2:$U$29,MATCH($A22,'Por secao'!$V$2:$V$29,0))</f>
        <v/>
      </c>
      <c r="J22" s="51">
        <f>INDEX('Por secao'!$W$2:$W$29,MATCH($A22,'Por secao'!$V$2:$V$29,0))</f>
        <v/>
      </c>
    </row>
    <row r="23">
      <c r="A23" s="51" t="n">
        <v>22</v>
      </c>
      <c r="B23" s="51">
        <f>INDEX('Por secao'!$A$2:$A$29,MATCH($A23,'Por secao'!$V$2:$V$29,0))</f>
        <v/>
      </c>
      <c r="C23" s="51">
        <f>IF(INDEX('Por secao'!$L$2:$L$29,MATCH($A23,'Por secao'!$V$2:$V$29,0))="","—",INDEX('Por secao'!$L$2:$L$29,MATCH($A23,'Por secao'!$V$2:$V$29,0)))</f>
        <v/>
      </c>
      <c r="D23" s="52">
        <f>INDEX('Por secao'!$P$2:$P$29,MATCH($A23,'Por secao'!$V$2:$V$29,0))</f>
        <v/>
      </c>
      <c r="E23" s="52">
        <f>INDEX('Por secao'!$N$2:$N$29,MATCH($A23,'Por secao'!$V$2:$V$29,0))</f>
        <v/>
      </c>
      <c r="F23" s="52">
        <f>INDEX('Por secao'!$Q$2:$Q$29,MATCH($A23,'Por secao'!$V$2:$V$29,0))</f>
        <v/>
      </c>
      <c r="G23" s="53">
        <f>INDEX('Por secao'!$S$2:$S$29,MATCH($A23,'Por secao'!$V$2:$V$29,0))</f>
        <v/>
      </c>
      <c r="H23" s="54">
        <f>INDEX('Por secao'!$T$2:$T$29,MATCH($A23,'Por secao'!$V$2:$V$29,0))</f>
        <v/>
      </c>
      <c r="I23" s="55">
        <f>INDEX('Por secao'!$U$2:$U$29,MATCH($A23,'Por secao'!$V$2:$V$29,0))</f>
        <v/>
      </c>
      <c r="J23" s="51">
        <f>INDEX('Por secao'!$W$2:$W$29,MATCH($A23,'Por secao'!$V$2:$V$29,0))</f>
        <v/>
      </c>
    </row>
    <row r="24">
      <c r="A24" s="51" t="n">
        <v>23</v>
      </c>
      <c r="B24" s="51">
        <f>INDEX('Por secao'!$A$2:$A$29,MATCH($A24,'Por secao'!$V$2:$V$29,0))</f>
        <v/>
      </c>
      <c r="C24" s="51">
        <f>IF(INDEX('Por secao'!$L$2:$L$29,MATCH($A24,'Por secao'!$V$2:$V$29,0))="","—",INDEX('Por secao'!$L$2:$L$29,MATCH($A24,'Por secao'!$V$2:$V$29,0)))</f>
        <v/>
      </c>
      <c r="D24" s="52">
        <f>INDEX('Por secao'!$P$2:$P$29,MATCH($A24,'Por secao'!$V$2:$V$29,0))</f>
        <v/>
      </c>
      <c r="E24" s="52">
        <f>INDEX('Por secao'!$N$2:$N$29,MATCH($A24,'Por secao'!$V$2:$V$29,0))</f>
        <v/>
      </c>
      <c r="F24" s="52">
        <f>INDEX('Por secao'!$Q$2:$Q$29,MATCH($A24,'Por secao'!$V$2:$V$29,0))</f>
        <v/>
      </c>
      <c r="G24" s="53">
        <f>INDEX('Por secao'!$S$2:$S$29,MATCH($A24,'Por secao'!$V$2:$V$29,0))</f>
        <v/>
      </c>
      <c r="H24" s="54">
        <f>INDEX('Por secao'!$T$2:$T$29,MATCH($A24,'Por secao'!$V$2:$V$29,0))</f>
        <v/>
      </c>
      <c r="I24" s="55">
        <f>INDEX('Por secao'!$U$2:$U$29,MATCH($A24,'Por secao'!$V$2:$V$29,0))</f>
        <v/>
      </c>
      <c r="J24" s="51">
        <f>INDEX('Por secao'!$W$2:$W$29,MATCH($A24,'Por secao'!$V$2:$V$29,0))</f>
        <v/>
      </c>
    </row>
    <row r="25">
      <c r="A25" s="51" t="n">
        <v>24</v>
      </c>
      <c r="B25" s="51">
        <f>INDEX('Por secao'!$A$2:$A$29,MATCH($A25,'Por secao'!$V$2:$V$29,0))</f>
        <v/>
      </c>
      <c r="C25" s="51">
        <f>IF(INDEX('Por secao'!$L$2:$L$29,MATCH($A25,'Por secao'!$V$2:$V$29,0))="","—",INDEX('Por secao'!$L$2:$L$29,MATCH($A25,'Por secao'!$V$2:$V$29,0)))</f>
        <v/>
      </c>
      <c r="D25" s="52">
        <f>INDEX('Por secao'!$P$2:$P$29,MATCH($A25,'Por secao'!$V$2:$V$29,0))</f>
        <v/>
      </c>
      <c r="E25" s="52">
        <f>INDEX('Por secao'!$N$2:$N$29,MATCH($A25,'Por secao'!$V$2:$V$29,0))</f>
        <v/>
      </c>
      <c r="F25" s="52">
        <f>INDEX('Por secao'!$Q$2:$Q$29,MATCH($A25,'Por secao'!$V$2:$V$29,0))</f>
        <v/>
      </c>
      <c r="G25" s="53">
        <f>INDEX('Por secao'!$S$2:$S$29,MATCH($A25,'Por secao'!$V$2:$V$29,0))</f>
        <v/>
      </c>
      <c r="H25" s="54">
        <f>INDEX('Por secao'!$T$2:$T$29,MATCH($A25,'Por secao'!$V$2:$V$29,0))</f>
        <v/>
      </c>
      <c r="I25" s="55">
        <f>INDEX('Por secao'!$U$2:$U$29,MATCH($A25,'Por secao'!$V$2:$V$29,0))</f>
        <v/>
      </c>
      <c r="J25" s="51">
        <f>INDEX('Por secao'!$W$2:$W$29,MATCH($A25,'Por secao'!$V$2:$V$29,0))</f>
        <v/>
      </c>
    </row>
    <row r="26">
      <c r="A26" s="51" t="n">
        <v>25</v>
      </c>
      <c r="B26" s="51">
        <f>INDEX('Por secao'!$A$2:$A$29,MATCH($A26,'Por secao'!$V$2:$V$29,0))</f>
        <v/>
      </c>
      <c r="C26" s="51">
        <f>IF(INDEX('Por secao'!$L$2:$L$29,MATCH($A26,'Por secao'!$V$2:$V$29,0))="","—",INDEX('Por secao'!$L$2:$L$29,MATCH($A26,'Por secao'!$V$2:$V$29,0)))</f>
        <v/>
      </c>
      <c r="D26" s="52">
        <f>INDEX('Por secao'!$P$2:$P$29,MATCH($A26,'Por secao'!$V$2:$V$29,0))</f>
        <v/>
      </c>
      <c r="E26" s="52">
        <f>INDEX('Por secao'!$N$2:$N$29,MATCH($A26,'Por secao'!$V$2:$V$29,0))</f>
        <v/>
      </c>
      <c r="F26" s="52">
        <f>INDEX('Por secao'!$Q$2:$Q$29,MATCH($A26,'Por secao'!$V$2:$V$29,0))</f>
        <v/>
      </c>
      <c r="G26" s="53">
        <f>INDEX('Por secao'!$S$2:$S$29,MATCH($A26,'Por secao'!$V$2:$V$29,0))</f>
        <v/>
      </c>
      <c r="H26" s="54">
        <f>INDEX('Por secao'!$T$2:$T$29,MATCH($A26,'Por secao'!$V$2:$V$29,0))</f>
        <v/>
      </c>
      <c r="I26" s="55">
        <f>INDEX('Por secao'!$U$2:$U$29,MATCH($A26,'Por secao'!$V$2:$V$29,0))</f>
        <v/>
      </c>
      <c r="J26" s="51">
        <f>INDEX('Por secao'!$W$2:$W$29,MATCH($A26,'Por secao'!$V$2:$V$29,0))</f>
        <v/>
      </c>
    </row>
    <row r="27">
      <c r="A27" s="51" t="n">
        <v>26</v>
      </c>
      <c r="B27" s="51">
        <f>INDEX('Por secao'!$A$2:$A$29,MATCH($A27,'Por secao'!$V$2:$V$29,0))</f>
        <v/>
      </c>
      <c r="C27" s="51">
        <f>IF(INDEX('Por secao'!$L$2:$L$29,MATCH($A27,'Por secao'!$V$2:$V$29,0))="","—",INDEX('Por secao'!$L$2:$L$29,MATCH($A27,'Por secao'!$V$2:$V$29,0)))</f>
        <v/>
      </c>
      <c r="D27" s="52">
        <f>INDEX('Por secao'!$P$2:$P$29,MATCH($A27,'Por secao'!$V$2:$V$29,0))</f>
        <v/>
      </c>
      <c r="E27" s="52">
        <f>INDEX('Por secao'!$N$2:$N$29,MATCH($A27,'Por secao'!$V$2:$V$29,0))</f>
        <v/>
      </c>
      <c r="F27" s="52">
        <f>INDEX('Por secao'!$Q$2:$Q$29,MATCH($A27,'Por secao'!$V$2:$V$29,0))</f>
        <v/>
      </c>
      <c r="G27" s="53">
        <f>INDEX('Por secao'!$S$2:$S$29,MATCH($A27,'Por secao'!$V$2:$V$29,0))</f>
        <v/>
      </c>
      <c r="H27" s="54">
        <f>INDEX('Por secao'!$T$2:$T$29,MATCH($A27,'Por secao'!$V$2:$V$29,0))</f>
        <v/>
      </c>
      <c r="I27" s="55">
        <f>INDEX('Por secao'!$U$2:$U$29,MATCH($A27,'Por secao'!$V$2:$V$29,0))</f>
        <v/>
      </c>
      <c r="J27" s="51">
        <f>INDEX('Por secao'!$W$2:$W$29,MATCH($A27,'Por secao'!$V$2:$V$29,0))</f>
        <v/>
      </c>
    </row>
    <row r="28">
      <c r="A28" s="51" t="n">
        <v>27</v>
      </c>
      <c r="B28" s="51">
        <f>INDEX('Por secao'!$A$2:$A$29,MATCH($A28,'Por secao'!$V$2:$V$29,0))</f>
        <v/>
      </c>
      <c r="C28" s="51">
        <f>IF(INDEX('Por secao'!$L$2:$L$29,MATCH($A28,'Por secao'!$V$2:$V$29,0))="","—",INDEX('Por secao'!$L$2:$L$29,MATCH($A28,'Por secao'!$V$2:$V$29,0)))</f>
        <v/>
      </c>
      <c r="D28" s="52">
        <f>INDEX('Por secao'!$P$2:$P$29,MATCH($A28,'Por secao'!$V$2:$V$29,0))</f>
        <v/>
      </c>
      <c r="E28" s="52">
        <f>INDEX('Por secao'!$N$2:$N$29,MATCH($A28,'Por secao'!$V$2:$V$29,0))</f>
        <v/>
      </c>
      <c r="F28" s="52">
        <f>INDEX('Por secao'!$Q$2:$Q$29,MATCH($A28,'Por secao'!$V$2:$V$29,0))</f>
        <v/>
      </c>
      <c r="G28" s="53">
        <f>INDEX('Por secao'!$S$2:$S$29,MATCH($A28,'Por secao'!$V$2:$V$29,0))</f>
        <v/>
      </c>
      <c r="H28" s="54">
        <f>INDEX('Por secao'!$T$2:$T$29,MATCH($A28,'Por secao'!$V$2:$V$29,0))</f>
        <v/>
      </c>
      <c r="I28" s="55">
        <f>INDEX('Por secao'!$U$2:$U$29,MATCH($A28,'Por secao'!$V$2:$V$29,0))</f>
        <v/>
      </c>
      <c r="J28" s="51">
        <f>INDEX('Por secao'!$W$2:$W$29,MATCH($A28,'Por secao'!$V$2:$V$29,0))</f>
        <v/>
      </c>
    </row>
    <row r="29">
      <c r="A29" s="51" t="n">
        <v>28</v>
      </c>
      <c r="B29" s="51">
        <f>INDEX('Por secao'!$A$2:$A$29,MATCH($A29,'Por secao'!$V$2:$V$29,0))</f>
        <v/>
      </c>
      <c r="C29" s="51">
        <f>IF(INDEX('Por secao'!$L$2:$L$29,MATCH($A29,'Por secao'!$V$2:$V$29,0))="","—",INDEX('Por secao'!$L$2:$L$29,MATCH($A29,'Por secao'!$V$2:$V$29,0)))</f>
        <v/>
      </c>
      <c r="D29" s="52">
        <f>INDEX('Por secao'!$P$2:$P$29,MATCH($A29,'Por secao'!$V$2:$V$29,0))</f>
        <v/>
      </c>
      <c r="E29" s="52">
        <f>INDEX('Por secao'!$N$2:$N$29,MATCH($A29,'Por secao'!$V$2:$V$29,0))</f>
        <v/>
      </c>
      <c r="F29" s="52">
        <f>INDEX('Por secao'!$Q$2:$Q$29,MATCH($A29,'Por secao'!$V$2:$V$29,0))</f>
        <v/>
      </c>
      <c r="G29" s="53">
        <f>INDEX('Por secao'!$S$2:$S$29,MATCH($A29,'Por secao'!$V$2:$V$29,0))</f>
        <v/>
      </c>
      <c r="H29" s="54">
        <f>INDEX('Por secao'!$T$2:$T$29,MATCH($A29,'Por secao'!$V$2:$V$29,0))</f>
        <v/>
      </c>
      <c r="I29" s="55">
        <f>INDEX('Por secao'!$U$2:$U$29,MATCH($A29,'Por secao'!$V$2:$V$29,0))</f>
        <v/>
      </c>
      <c r="J29" s="51">
        <f>INDEX('Por secao'!$W$2:$W$29,MATCH($A29,'Por secao'!$V$2:$V$29,0))</f>
        <v/>
      </c>
    </row>
    <row r="30"/>
    <row r="31">
      <c r="A31" t="inlineStr">
        <is>
          <t>Ordenado por comparecimento efetivo (BUs de 04/10/2026), da urna mais movimentada para a menos. Empates desfeitos pela ordem das seções. Alimentado por 'Por secao'!V.</t>
        </is>
      </c>
    </row>
  </sheetData>
  <conditionalFormatting sqref="F2:F29">
    <cfRule type="expression" priority="1" dxfId="2">
      <formula>$J2="Alto"</formula>
    </cfRule>
    <cfRule type="expression" priority="2" dxfId="19">
      <formula>$J2="Médio"</formula>
    </cfRule>
    <cfRule type="expression" priority="3" dxfId="37">
      <formula>$J2="Baixo"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2"/>
  <sheetViews>
    <sheetView tabSelected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7109375" defaultRowHeight="15"/>
  <cols>
    <col width="8" customWidth="1" min="1" max="1"/>
    <col width="34" customWidth="1" min="2" max="2"/>
    <col width="11" customWidth="1" min="3" max="3"/>
    <col width="34" customWidth="1" min="4" max="4"/>
    <col width="11" customWidth="1" min="5" max="5"/>
    <col width="34" customWidth="1" min="6" max="6"/>
    <col width="11" customWidth="1" min="7" max="7"/>
    <col width="34" customWidth="1" min="8" max="8"/>
    <col width="11" customWidth="1" min="9" max="9"/>
    <col width="10" customWidth="1" min="10" max="11"/>
    <col width="9" customWidth="1" min="12" max="12"/>
    <col width="26" customWidth="1" min="13" max="13"/>
    <col width="11" customWidth="1" min="14" max="14"/>
    <col width="9" customWidth="1" min="15" max="15"/>
  </cols>
  <sheetData>
    <row r="1" ht="30" customHeight="1">
      <c r="A1" s="15" t="inlineStr">
        <is>
          <t>Seção</t>
        </is>
      </c>
      <c r="B1" s="15" t="inlineStr">
        <is>
          <t>Presidente</t>
        </is>
      </c>
      <c r="C1" s="15" t="inlineStr">
        <is>
          <t>Pres.</t>
        </is>
      </c>
      <c r="D1" s="15" t="inlineStr">
        <is>
          <t>1º Mesário</t>
        </is>
      </c>
      <c r="E1" s="15" t="inlineStr">
        <is>
          <t>Pres.</t>
        </is>
      </c>
      <c r="F1" s="15" t="inlineStr">
        <is>
          <t>2º Mesário</t>
        </is>
      </c>
      <c r="G1" s="15" t="inlineStr">
        <is>
          <t>Pres.</t>
        </is>
      </c>
      <c r="H1" s="15" t="inlineStr">
        <is>
          <t>1º Secretário</t>
        </is>
      </c>
      <c r="I1" s="15" t="inlineStr">
        <is>
          <t>Pres.</t>
        </is>
      </c>
      <c r="J1" s="15" t="inlineStr">
        <is>
          <t>Presentes</t>
        </is>
      </c>
      <c r="K1" s="15" t="inlineStr">
        <is>
          <t>Ausentes</t>
        </is>
      </c>
      <c r="L1" s="15" t="inlineStr">
        <is>
          <t>Outros</t>
        </is>
      </c>
      <c r="M1" s="15" t="inlineStr">
        <is>
          <t>Alerta</t>
        </is>
      </c>
      <c r="N1" s="15" t="inlineStr">
        <is>
          <t>Eleitores esperados</t>
        </is>
      </c>
      <c r="O1" s="15" t="inlineStr">
        <is>
          <t>Faixa</t>
        </is>
      </c>
    </row>
    <row r="2">
      <c r="A2" s="16">
        <f>'Por secao'!A2</f>
        <v/>
      </c>
      <c r="B2" s="17">
        <f>IFERROR(INDEX(Mesarios!$D$2:$D$112,MATCH($A2&amp;"|"&amp;B$1,Mesarios!$F$2:$F$112,0)),"VAGO")</f>
        <v/>
      </c>
      <c r="C2" s="18">
        <f>IFERROR(INDEX(Mesarios!$M$2:$M$112,MATCH($A2&amp;"|"&amp;B$1,Mesarios!$F$2:$F$112,0)),"VAGO")</f>
        <v/>
      </c>
      <c r="D2" s="17">
        <f>IFERROR(INDEX(Mesarios!$D$2:$D$112,MATCH($A2&amp;"|"&amp;D$1,Mesarios!$F$2:$F$112,0)),"VAGO")</f>
        <v/>
      </c>
      <c r="E2" s="18">
        <f>IFERROR(INDEX(Mesarios!$M$2:$M$112,MATCH($A2&amp;"|"&amp;D$1,Mesarios!$F$2:$F$112,0)),"VAGO")</f>
        <v/>
      </c>
      <c r="F2" s="17">
        <f>IFERROR(INDEX(Mesarios!$D$2:$D$112,MATCH($A2&amp;"|"&amp;F$1,Mesarios!$F$2:$F$112,0)),"VAGO")</f>
        <v/>
      </c>
      <c r="G2" s="18">
        <f>IFERROR(INDEX(Mesarios!$M$2:$M$112,MATCH($A2&amp;"|"&amp;F$1,Mesarios!$F$2:$F$112,0)),"VAGO")</f>
        <v/>
      </c>
      <c r="H2" s="17">
        <f>IFERROR(INDEX(Mesarios!$D$2:$D$112,MATCH($A2&amp;"|"&amp;H$1,Mesarios!$F$2:$F$112,0)),"VAGO")</f>
        <v/>
      </c>
      <c r="I2" s="18">
        <f>IFERROR(INDEX(Mesarios!$M$2:$M$112,MATCH($A2&amp;"|"&amp;H$1,Mesarios!$F$2:$F$112,0)),"VAGO")</f>
        <v/>
      </c>
      <c r="J2" s="18">
        <f>COUNTIF(C2:I2,"SIM")</f>
        <v/>
      </c>
      <c r="K2" s="18">
        <f>COUNTIF(C2:I2,"NAO")</f>
        <v/>
      </c>
      <c r="L2" s="18">
        <f>COUNTIF(C2:I2,"0006/2026")+COUNTIF(C2:I2,"-")</f>
        <v/>
      </c>
      <c r="M2" s="17">
        <f>IF(J2&gt;=4,"Mesa completa",IF(J2=3,"Falta 1","ATENÇÃO: só "&amp;J2&amp;" presentes"))</f>
        <v/>
      </c>
      <c r="N2" s="19">
        <f>'Por secao'!N2</f>
        <v/>
      </c>
      <c r="O2" s="18">
        <f>'Por secao'!O2</f>
        <v/>
      </c>
    </row>
    <row r="3">
      <c r="A3" s="16">
        <f>'Por secao'!A3</f>
        <v/>
      </c>
      <c r="B3" s="17">
        <f>IFERROR(INDEX(Mesarios!$D$2:$D$112,MATCH($A3&amp;"|"&amp;B$1,Mesarios!$F$2:$F$112,0)),"VAGO")</f>
        <v/>
      </c>
      <c r="C3" s="18">
        <f>IFERROR(INDEX(Mesarios!$M$2:$M$112,MATCH($A3&amp;"|"&amp;B$1,Mesarios!$F$2:$F$112,0)),"VAGO")</f>
        <v/>
      </c>
      <c r="D3" s="17">
        <f>IFERROR(INDEX(Mesarios!$D$2:$D$112,MATCH($A3&amp;"|"&amp;D$1,Mesarios!$F$2:$F$112,0)),"VAGO")</f>
        <v/>
      </c>
      <c r="E3" s="18">
        <f>IFERROR(INDEX(Mesarios!$M$2:$M$112,MATCH($A3&amp;"|"&amp;D$1,Mesarios!$F$2:$F$112,0)),"VAGO")</f>
        <v/>
      </c>
      <c r="F3" s="17">
        <f>IFERROR(INDEX(Mesarios!$D$2:$D$112,MATCH($A3&amp;"|"&amp;F$1,Mesarios!$F$2:$F$112,0)),"VAGO")</f>
        <v/>
      </c>
      <c r="G3" s="18">
        <f>IFERROR(INDEX(Mesarios!$M$2:$M$112,MATCH($A3&amp;"|"&amp;F$1,Mesarios!$F$2:$F$112,0)),"VAGO")</f>
        <v/>
      </c>
      <c r="H3" s="17">
        <f>IFERROR(INDEX(Mesarios!$D$2:$D$112,MATCH($A3&amp;"|"&amp;H$1,Mesarios!$F$2:$F$112,0)),"VAGO")</f>
        <v/>
      </c>
      <c r="I3" s="18">
        <f>IFERROR(INDEX(Mesarios!$M$2:$M$112,MATCH($A3&amp;"|"&amp;H$1,Mesarios!$F$2:$F$112,0)),"VAGO")</f>
        <v/>
      </c>
      <c r="J3" s="18">
        <f>COUNTIF(C3:I3,"SIM")</f>
        <v/>
      </c>
      <c r="K3" s="18">
        <f>COUNTIF(C3:I3,"NAO")</f>
        <v/>
      </c>
      <c r="L3" s="18">
        <f>COUNTIF(C3:I3,"0006/2026")+COUNTIF(C3:I3,"-")</f>
        <v/>
      </c>
      <c r="M3" s="17">
        <f>IF(J3&gt;=4,"Mesa completa",IF(J3=3,"Falta 1","ATENÇÃO: só "&amp;J3&amp;" presentes"))</f>
        <v/>
      </c>
      <c r="N3" s="19">
        <f>'Por secao'!N3</f>
        <v/>
      </c>
      <c r="O3" s="18">
        <f>'Por secao'!O3</f>
        <v/>
      </c>
    </row>
    <row r="4">
      <c r="A4" s="16">
        <f>'Por secao'!A4</f>
        <v/>
      </c>
      <c r="B4" s="17">
        <f>IFERROR(INDEX(Mesarios!$D$2:$D$112,MATCH($A4&amp;"|"&amp;B$1,Mesarios!$F$2:$F$112,0)),"VAGO")</f>
        <v/>
      </c>
      <c r="C4" s="18">
        <f>IFERROR(INDEX(Mesarios!$M$2:$M$112,MATCH($A4&amp;"|"&amp;B$1,Mesarios!$F$2:$F$112,0)),"VAGO")</f>
        <v/>
      </c>
      <c r="D4" s="17">
        <f>IFERROR(INDEX(Mesarios!$D$2:$D$112,MATCH($A4&amp;"|"&amp;D$1,Mesarios!$F$2:$F$112,0)),"VAGO")</f>
        <v/>
      </c>
      <c r="E4" s="18">
        <f>IFERROR(INDEX(Mesarios!$M$2:$M$112,MATCH($A4&amp;"|"&amp;D$1,Mesarios!$F$2:$F$112,0)),"VAGO")</f>
        <v/>
      </c>
      <c r="F4" s="17">
        <f>IFERROR(INDEX(Mesarios!$D$2:$D$112,MATCH($A4&amp;"|"&amp;F$1,Mesarios!$F$2:$F$112,0)),"VAGO")</f>
        <v/>
      </c>
      <c r="G4" s="18">
        <f>IFERROR(INDEX(Mesarios!$M$2:$M$112,MATCH($A4&amp;"|"&amp;F$1,Mesarios!$F$2:$F$112,0)),"VAGO")</f>
        <v/>
      </c>
      <c r="H4" s="17">
        <f>IFERROR(INDEX(Mesarios!$D$2:$D$112,MATCH($A4&amp;"|"&amp;H$1,Mesarios!$F$2:$F$112,0)),"VAGO")</f>
        <v/>
      </c>
      <c r="I4" s="18">
        <f>IFERROR(INDEX(Mesarios!$M$2:$M$112,MATCH($A4&amp;"|"&amp;H$1,Mesarios!$F$2:$F$112,0)),"VAGO")</f>
        <v/>
      </c>
      <c r="J4" s="18">
        <f>COUNTIF(C4:I4,"SIM")</f>
        <v/>
      </c>
      <c r="K4" s="18">
        <f>COUNTIF(C4:I4,"NAO")</f>
        <v/>
      </c>
      <c r="L4" s="18">
        <f>COUNTIF(C4:I4,"0006/2026")+COUNTIF(C4:I4,"-")</f>
        <v/>
      </c>
      <c r="M4" s="17">
        <f>IF(J4&gt;=4,"Mesa completa",IF(J4=3,"Falta 1","ATENÇÃO: só "&amp;J4&amp;" presentes"))</f>
        <v/>
      </c>
      <c r="N4" s="19">
        <f>'Por secao'!N4</f>
        <v/>
      </c>
      <c r="O4" s="18">
        <f>'Por secao'!O4</f>
        <v/>
      </c>
    </row>
    <row r="5">
      <c r="A5" s="16">
        <f>'Por secao'!A5</f>
        <v/>
      </c>
      <c r="B5" s="17">
        <f>IFERROR(INDEX(Mesarios!$D$2:$D$112,MATCH($A5&amp;"|"&amp;B$1,Mesarios!$F$2:$F$112,0)),"VAGO")</f>
        <v/>
      </c>
      <c r="C5" s="18">
        <f>IFERROR(INDEX(Mesarios!$M$2:$M$112,MATCH($A5&amp;"|"&amp;B$1,Mesarios!$F$2:$F$112,0)),"VAGO")</f>
        <v/>
      </c>
      <c r="D5" s="17">
        <f>IFERROR(INDEX(Mesarios!$D$2:$D$112,MATCH($A5&amp;"|"&amp;D$1,Mesarios!$F$2:$F$112,0)),"VAGO")</f>
        <v/>
      </c>
      <c r="E5" s="18">
        <f>IFERROR(INDEX(Mesarios!$M$2:$M$112,MATCH($A5&amp;"|"&amp;D$1,Mesarios!$F$2:$F$112,0)),"VAGO")</f>
        <v/>
      </c>
      <c r="F5" s="17">
        <f>IFERROR(INDEX(Mesarios!$D$2:$D$112,MATCH($A5&amp;"|"&amp;F$1,Mesarios!$F$2:$F$112,0)),"VAGO")</f>
        <v/>
      </c>
      <c r="G5" s="18">
        <f>IFERROR(INDEX(Mesarios!$M$2:$M$112,MATCH($A5&amp;"|"&amp;F$1,Mesarios!$F$2:$F$112,0)),"VAGO")</f>
        <v/>
      </c>
      <c r="H5" s="17">
        <f>IFERROR(INDEX(Mesarios!$D$2:$D$112,MATCH($A5&amp;"|"&amp;H$1,Mesarios!$F$2:$F$112,0)),"VAGO")</f>
        <v/>
      </c>
      <c r="I5" s="18">
        <f>IFERROR(INDEX(Mesarios!$M$2:$M$112,MATCH($A5&amp;"|"&amp;H$1,Mesarios!$F$2:$F$112,0)),"VAGO")</f>
        <v/>
      </c>
      <c r="J5" s="18">
        <f>COUNTIF(C5:I5,"SIM")</f>
        <v/>
      </c>
      <c r="K5" s="18">
        <f>COUNTIF(C5:I5,"NAO")</f>
        <v/>
      </c>
      <c r="L5" s="18">
        <f>COUNTIF(C5:I5,"0006/2026")+COUNTIF(C5:I5,"-")</f>
        <v/>
      </c>
      <c r="M5" s="17">
        <f>IF(J5&gt;=4,"Mesa completa",IF(J5=3,"Falta 1","ATENÇÃO: só "&amp;J5&amp;" presentes"))</f>
        <v/>
      </c>
      <c r="N5" s="19">
        <f>'Por secao'!N5</f>
        <v/>
      </c>
      <c r="O5" s="18">
        <f>'Por secao'!O5</f>
        <v/>
      </c>
    </row>
    <row r="6">
      <c r="A6" s="16">
        <f>'Por secao'!A6</f>
        <v/>
      </c>
      <c r="B6" s="17">
        <f>IFERROR(INDEX(Mesarios!$D$2:$D$112,MATCH($A6&amp;"|"&amp;B$1,Mesarios!$F$2:$F$112,0)),"VAGO")</f>
        <v/>
      </c>
      <c r="C6" s="18">
        <f>IFERROR(INDEX(Mesarios!$M$2:$M$112,MATCH($A6&amp;"|"&amp;B$1,Mesarios!$F$2:$F$112,0)),"VAGO")</f>
        <v/>
      </c>
      <c r="D6" s="17">
        <f>IFERROR(INDEX(Mesarios!$D$2:$D$112,MATCH($A6&amp;"|"&amp;D$1,Mesarios!$F$2:$F$112,0)),"VAGO")</f>
        <v/>
      </c>
      <c r="E6" s="18">
        <f>IFERROR(INDEX(Mesarios!$M$2:$M$112,MATCH($A6&amp;"|"&amp;D$1,Mesarios!$F$2:$F$112,0)),"VAGO")</f>
        <v/>
      </c>
      <c r="F6" s="17">
        <f>IFERROR(INDEX(Mesarios!$D$2:$D$112,MATCH($A6&amp;"|"&amp;F$1,Mesarios!$F$2:$F$112,0)),"VAGO")</f>
        <v/>
      </c>
      <c r="G6" s="18">
        <f>IFERROR(INDEX(Mesarios!$M$2:$M$112,MATCH($A6&amp;"|"&amp;F$1,Mesarios!$F$2:$F$112,0)),"VAGO")</f>
        <v/>
      </c>
      <c r="H6" s="17">
        <f>IFERROR(INDEX(Mesarios!$D$2:$D$112,MATCH($A6&amp;"|"&amp;H$1,Mesarios!$F$2:$F$112,0)),"VAGO")</f>
        <v/>
      </c>
      <c r="I6" s="18">
        <f>IFERROR(INDEX(Mesarios!$M$2:$M$112,MATCH($A6&amp;"|"&amp;H$1,Mesarios!$F$2:$F$112,0)),"VAGO")</f>
        <v/>
      </c>
      <c r="J6" s="18">
        <f>COUNTIF(C6:I6,"SIM")</f>
        <v/>
      </c>
      <c r="K6" s="18">
        <f>COUNTIF(C6:I6,"NAO")</f>
        <v/>
      </c>
      <c r="L6" s="18">
        <f>COUNTIF(C6:I6,"0006/2026")+COUNTIF(C6:I6,"-")</f>
        <v/>
      </c>
      <c r="M6" s="17">
        <f>IF(J6&gt;=4,"Mesa completa",IF(J6=3,"Falta 1","ATENÇÃO: só "&amp;J6&amp;" presentes"))</f>
        <v/>
      </c>
      <c r="N6" s="19">
        <f>'Por secao'!N6</f>
        <v/>
      </c>
      <c r="O6" s="18">
        <f>'Por secao'!O6</f>
        <v/>
      </c>
    </row>
    <row r="7">
      <c r="A7" s="16">
        <f>'Por secao'!A7</f>
        <v/>
      </c>
      <c r="B7" s="17">
        <f>IFERROR(INDEX(Mesarios!$D$2:$D$112,MATCH($A7&amp;"|"&amp;B$1,Mesarios!$F$2:$F$112,0)),"VAGO")</f>
        <v/>
      </c>
      <c r="C7" s="18">
        <f>IFERROR(INDEX(Mesarios!$M$2:$M$112,MATCH($A7&amp;"|"&amp;B$1,Mesarios!$F$2:$F$112,0)),"VAGO")</f>
        <v/>
      </c>
      <c r="D7" s="17">
        <f>IFERROR(INDEX(Mesarios!$D$2:$D$112,MATCH($A7&amp;"|"&amp;D$1,Mesarios!$F$2:$F$112,0)),"VAGO")</f>
        <v/>
      </c>
      <c r="E7" s="18">
        <f>IFERROR(INDEX(Mesarios!$M$2:$M$112,MATCH($A7&amp;"|"&amp;D$1,Mesarios!$F$2:$F$112,0)),"VAGO")</f>
        <v/>
      </c>
      <c r="F7" s="17">
        <f>IFERROR(INDEX(Mesarios!$D$2:$D$112,MATCH($A7&amp;"|"&amp;F$1,Mesarios!$F$2:$F$112,0)),"VAGO")</f>
        <v/>
      </c>
      <c r="G7" s="18">
        <f>IFERROR(INDEX(Mesarios!$M$2:$M$112,MATCH($A7&amp;"|"&amp;F$1,Mesarios!$F$2:$F$112,0)),"VAGO")</f>
        <v/>
      </c>
      <c r="H7" s="17">
        <f>IFERROR(INDEX(Mesarios!$D$2:$D$112,MATCH($A7&amp;"|"&amp;H$1,Mesarios!$F$2:$F$112,0)),"VAGO")</f>
        <v/>
      </c>
      <c r="I7" s="18">
        <f>IFERROR(INDEX(Mesarios!$M$2:$M$112,MATCH($A7&amp;"|"&amp;H$1,Mesarios!$F$2:$F$112,0)),"VAGO")</f>
        <v/>
      </c>
      <c r="J7" s="18">
        <f>COUNTIF(C7:I7,"SIM")</f>
        <v/>
      </c>
      <c r="K7" s="18">
        <f>COUNTIF(C7:I7,"NAO")</f>
        <v/>
      </c>
      <c r="L7" s="18">
        <f>COUNTIF(C7:I7,"0006/2026")+COUNTIF(C7:I7,"-")</f>
        <v/>
      </c>
      <c r="M7" s="17">
        <f>IF(J7&gt;=4,"Mesa completa",IF(J7=3,"Falta 1","ATENÇÃO: só "&amp;J7&amp;" presentes"))</f>
        <v/>
      </c>
      <c r="N7" s="19">
        <f>'Por secao'!N7</f>
        <v/>
      </c>
      <c r="O7" s="18">
        <f>'Por secao'!O7</f>
        <v/>
      </c>
    </row>
    <row r="8">
      <c r="A8" s="16">
        <f>'Por secao'!A8</f>
        <v/>
      </c>
      <c r="B8" s="17">
        <f>IFERROR(INDEX(Mesarios!$D$2:$D$112,MATCH($A8&amp;"|"&amp;B$1,Mesarios!$F$2:$F$112,0)),"VAGO")</f>
        <v/>
      </c>
      <c r="C8" s="18">
        <f>IFERROR(INDEX(Mesarios!$M$2:$M$112,MATCH($A8&amp;"|"&amp;B$1,Mesarios!$F$2:$F$112,0)),"VAGO")</f>
        <v/>
      </c>
      <c r="D8" s="17">
        <f>IFERROR(INDEX(Mesarios!$D$2:$D$112,MATCH($A8&amp;"|"&amp;D$1,Mesarios!$F$2:$F$112,0)),"VAGO")</f>
        <v/>
      </c>
      <c r="E8" s="18">
        <f>IFERROR(INDEX(Mesarios!$M$2:$M$112,MATCH($A8&amp;"|"&amp;D$1,Mesarios!$F$2:$F$112,0)),"VAGO")</f>
        <v/>
      </c>
      <c r="F8" s="17">
        <f>IFERROR(INDEX(Mesarios!$D$2:$D$112,MATCH($A8&amp;"|"&amp;F$1,Mesarios!$F$2:$F$112,0)),"VAGO")</f>
        <v/>
      </c>
      <c r="G8" s="18">
        <f>IFERROR(INDEX(Mesarios!$M$2:$M$112,MATCH($A8&amp;"|"&amp;F$1,Mesarios!$F$2:$F$112,0)),"VAGO")</f>
        <v/>
      </c>
      <c r="H8" s="17">
        <f>IFERROR(INDEX(Mesarios!$D$2:$D$112,MATCH($A8&amp;"|"&amp;H$1,Mesarios!$F$2:$F$112,0)),"VAGO")</f>
        <v/>
      </c>
      <c r="I8" s="18">
        <f>IFERROR(INDEX(Mesarios!$M$2:$M$112,MATCH($A8&amp;"|"&amp;H$1,Mesarios!$F$2:$F$112,0)),"VAGO")</f>
        <v/>
      </c>
      <c r="J8" s="18">
        <f>COUNTIF(C8:I8,"SIM")</f>
        <v/>
      </c>
      <c r="K8" s="18">
        <f>COUNTIF(C8:I8,"NAO")</f>
        <v/>
      </c>
      <c r="L8" s="18">
        <f>COUNTIF(C8:I8,"0006/2026")+COUNTIF(C8:I8,"-")</f>
        <v/>
      </c>
      <c r="M8" s="17">
        <f>IF(J8&gt;=4,"Mesa completa",IF(J8=3,"Falta 1","ATENÇÃO: só "&amp;J8&amp;" presentes"))</f>
        <v/>
      </c>
      <c r="N8" s="19">
        <f>'Por secao'!N8</f>
        <v/>
      </c>
      <c r="O8" s="18">
        <f>'Por secao'!O8</f>
        <v/>
      </c>
    </row>
    <row r="9">
      <c r="A9" s="16">
        <f>'Por secao'!A9</f>
        <v/>
      </c>
      <c r="B9" s="17">
        <f>IFERROR(INDEX(Mesarios!$D$2:$D$112,MATCH($A9&amp;"|"&amp;B$1,Mesarios!$F$2:$F$112,0)),"VAGO")</f>
        <v/>
      </c>
      <c r="C9" s="18">
        <f>IFERROR(INDEX(Mesarios!$M$2:$M$112,MATCH($A9&amp;"|"&amp;B$1,Mesarios!$F$2:$F$112,0)),"VAGO")</f>
        <v/>
      </c>
      <c r="D9" s="17">
        <f>IFERROR(INDEX(Mesarios!$D$2:$D$112,MATCH($A9&amp;"|"&amp;D$1,Mesarios!$F$2:$F$112,0)),"VAGO")</f>
        <v/>
      </c>
      <c r="E9" s="18">
        <f>IFERROR(INDEX(Mesarios!$M$2:$M$112,MATCH($A9&amp;"|"&amp;D$1,Mesarios!$F$2:$F$112,0)),"VAGO")</f>
        <v/>
      </c>
      <c r="F9" s="17">
        <f>IFERROR(INDEX(Mesarios!$D$2:$D$112,MATCH($A9&amp;"|"&amp;F$1,Mesarios!$F$2:$F$112,0)),"VAGO")</f>
        <v/>
      </c>
      <c r="G9" s="18">
        <f>IFERROR(INDEX(Mesarios!$M$2:$M$112,MATCH($A9&amp;"|"&amp;F$1,Mesarios!$F$2:$F$112,0)),"VAGO")</f>
        <v/>
      </c>
      <c r="H9" s="17">
        <f>IFERROR(INDEX(Mesarios!$D$2:$D$112,MATCH($A9&amp;"|"&amp;H$1,Mesarios!$F$2:$F$112,0)),"VAGO")</f>
        <v/>
      </c>
      <c r="I9" s="18">
        <f>IFERROR(INDEX(Mesarios!$M$2:$M$112,MATCH($A9&amp;"|"&amp;H$1,Mesarios!$F$2:$F$112,0)),"VAGO")</f>
        <v/>
      </c>
      <c r="J9" s="18">
        <f>COUNTIF(C9:I9,"SIM")</f>
        <v/>
      </c>
      <c r="K9" s="18">
        <f>COUNTIF(C9:I9,"NAO")</f>
        <v/>
      </c>
      <c r="L9" s="18">
        <f>COUNTIF(C9:I9,"0006/2026")+COUNTIF(C9:I9,"-")</f>
        <v/>
      </c>
      <c r="M9" s="17">
        <f>IF(J9&gt;=4,"Mesa completa",IF(J9=3,"Falta 1","ATENÇÃO: só "&amp;J9&amp;" presentes"))</f>
        <v/>
      </c>
      <c r="N9" s="19">
        <f>'Por secao'!N9</f>
        <v/>
      </c>
      <c r="O9" s="18">
        <f>'Por secao'!O9</f>
        <v/>
      </c>
    </row>
    <row r="10">
      <c r="A10" s="16">
        <f>'Por secao'!A10</f>
        <v/>
      </c>
      <c r="B10" s="17">
        <f>IFERROR(INDEX(Mesarios!$D$2:$D$112,MATCH($A10&amp;"|"&amp;B$1,Mesarios!$F$2:$F$112,0)),"VAGO")</f>
        <v/>
      </c>
      <c r="C10" s="18">
        <f>IFERROR(INDEX(Mesarios!$M$2:$M$112,MATCH($A10&amp;"|"&amp;B$1,Mesarios!$F$2:$F$112,0)),"VAGO")</f>
        <v/>
      </c>
      <c r="D10" s="17">
        <f>IFERROR(INDEX(Mesarios!$D$2:$D$112,MATCH($A10&amp;"|"&amp;D$1,Mesarios!$F$2:$F$112,0)),"VAGO")</f>
        <v/>
      </c>
      <c r="E10" s="18">
        <f>IFERROR(INDEX(Mesarios!$M$2:$M$112,MATCH($A10&amp;"|"&amp;D$1,Mesarios!$F$2:$F$112,0)),"VAGO")</f>
        <v/>
      </c>
      <c r="F10" s="17">
        <f>IFERROR(INDEX(Mesarios!$D$2:$D$112,MATCH($A10&amp;"|"&amp;F$1,Mesarios!$F$2:$F$112,0)),"VAGO")</f>
        <v/>
      </c>
      <c r="G10" s="18">
        <f>IFERROR(INDEX(Mesarios!$M$2:$M$112,MATCH($A10&amp;"|"&amp;F$1,Mesarios!$F$2:$F$112,0)),"VAGO")</f>
        <v/>
      </c>
      <c r="H10" s="17">
        <f>IFERROR(INDEX(Mesarios!$D$2:$D$112,MATCH($A10&amp;"|"&amp;H$1,Mesarios!$F$2:$F$112,0)),"VAGO")</f>
        <v/>
      </c>
      <c r="I10" s="18">
        <f>IFERROR(INDEX(Mesarios!$M$2:$M$112,MATCH($A10&amp;"|"&amp;H$1,Mesarios!$F$2:$F$112,0)),"VAGO")</f>
        <v/>
      </c>
      <c r="J10" s="18">
        <f>COUNTIF(C10:I10,"SIM")</f>
        <v/>
      </c>
      <c r="K10" s="18">
        <f>COUNTIF(C10:I10,"NAO")</f>
        <v/>
      </c>
      <c r="L10" s="18">
        <f>COUNTIF(C10:I10,"0006/2026")+COUNTIF(C10:I10,"-")</f>
        <v/>
      </c>
      <c r="M10" s="17">
        <f>IF(J10&gt;=4,"Mesa completa",IF(J10=3,"Falta 1","ATENÇÃO: só "&amp;J10&amp;" presentes"))</f>
        <v/>
      </c>
      <c r="N10" s="19">
        <f>'Por secao'!N10</f>
        <v/>
      </c>
      <c r="O10" s="18">
        <f>'Por secao'!O10</f>
        <v/>
      </c>
    </row>
    <row r="11">
      <c r="A11" s="16">
        <f>'Por secao'!A11</f>
        <v/>
      </c>
      <c r="B11" s="17">
        <f>IFERROR(INDEX(Mesarios!$D$2:$D$112,MATCH($A11&amp;"|"&amp;B$1,Mesarios!$F$2:$F$112,0)),"VAGO")</f>
        <v/>
      </c>
      <c r="C11" s="18">
        <f>IFERROR(INDEX(Mesarios!$M$2:$M$112,MATCH($A11&amp;"|"&amp;B$1,Mesarios!$F$2:$F$112,0)),"VAGO")</f>
        <v/>
      </c>
      <c r="D11" s="17">
        <f>IFERROR(INDEX(Mesarios!$D$2:$D$112,MATCH($A11&amp;"|"&amp;D$1,Mesarios!$F$2:$F$112,0)),"VAGO")</f>
        <v/>
      </c>
      <c r="E11" s="18">
        <f>IFERROR(INDEX(Mesarios!$M$2:$M$112,MATCH($A11&amp;"|"&amp;D$1,Mesarios!$F$2:$F$112,0)),"VAGO")</f>
        <v/>
      </c>
      <c r="F11" s="17">
        <f>IFERROR(INDEX(Mesarios!$D$2:$D$112,MATCH($A11&amp;"|"&amp;F$1,Mesarios!$F$2:$F$112,0)),"VAGO")</f>
        <v/>
      </c>
      <c r="G11" s="18">
        <f>IFERROR(INDEX(Mesarios!$M$2:$M$112,MATCH($A11&amp;"|"&amp;F$1,Mesarios!$F$2:$F$112,0)),"VAGO")</f>
        <v/>
      </c>
      <c r="H11" s="17">
        <f>IFERROR(INDEX(Mesarios!$D$2:$D$112,MATCH($A11&amp;"|"&amp;H$1,Mesarios!$F$2:$F$112,0)),"VAGO")</f>
        <v/>
      </c>
      <c r="I11" s="18">
        <f>IFERROR(INDEX(Mesarios!$M$2:$M$112,MATCH($A11&amp;"|"&amp;H$1,Mesarios!$F$2:$F$112,0)),"VAGO")</f>
        <v/>
      </c>
      <c r="J11" s="18">
        <f>COUNTIF(C11:I11,"SIM")</f>
        <v/>
      </c>
      <c r="K11" s="18">
        <f>COUNTIF(C11:I11,"NAO")</f>
        <v/>
      </c>
      <c r="L11" s="18">
        <f>COUNTIF(C11:I11,"0006/2026")+COUNTIF(C11:I11,"-")</f>
        <v/>
      </c>
      <c r="M11" s="17">
        <f>IF(J11&gt;=4,"Mesa completa",IF(J11=3,"Falta 1","ATENÇÃO: só "&amp;J11&amp;" presentes"))</f>
        <v/>
      </c>
      <c r="N11" s="19">
        <f>'Por secao'!N11</f>
        <v/>
      </c>
      <c r="O11" s="18">
        <f>'Por secao'!O11</f>
        <v/>
      </c>
    </row>
    <row r="12">
      <c r="A12" s="16">
        <f>'Por secao'!A12</f>
        <v/>
      </c>
      <c r="B12" s="17">
        <f>IFERROR(INDEX(Mesarios!$D$2:$D$112,MATCH($A12&amp;"|"&amp;B$1,Mesarios!$F$2:$F$112,0)),"VAGO")</f>
        <v/>
      </c>
      <c r="C12" s="18">
        <f>IFERROR(INDEX(Mesarios!$M$2:$M$112,MATCH($A12&amp;"|"&amp;B$1,Mesarios!$F$2:$F$112,0)),"VAGO")</f>
        <v/>
      </c>
      <c r="D12" s="17">
        <f>IFERROR(INDEX(Mesarios!$D$2:$D$112,MATCH($A12&amp;"|"&amp;D$1,Mesarios!$F$2:$F$112,0)),"VAGO")</f>
        <v/>
      </c>
      <c r="E12" s="18">
        <f>IFERROR(INDEX(Mesarios!$M$2:$M$112,MATCH($A12&amp;"|"&amp;D$1,Mesarios!$F$2:$F$112,0)),"VAGO")</f>
        <v/>
      </c>
      <c r="F12" s="17">
        <f>IFERROR(INDEX(Mesarios!$D$2:$D$112,MATCH($A12&amp;"|"&amp;F$1,Mesarios!$F$2:$F$112,0)),"VAGO")</f>
        <v/>
      </c>
      <c r="G12" s="18">
        <f>IFERROR(INDEX(Mesarios!$M$2:$M$112,MATCH($A12&amp;"|"&amp;F$1,Mesarios!$F$2:$F$112,0)),"VAGO")</f>
        <v/>
      </c>
      <c r="H12" s="17">
        <f>IFERROR(INDEX(Mesarios!$D$2:$D$112,MATCH($A12&amp;"|"&amp;H$1,Mesarios!$F$2:$F$112,0)),"VAGO")</f>
        <v/>
      </c>
      <c r="I12" s="18">
        <f>IFERROR(INDEX(Mesarios!$M$2:$M$112,MATCH($A12&amp;"|"&amp;H$1,Mesarios!$F$2:$F$112,0)),"VAGO")</f>
        <v/>
      </c>
      <c r="J12" s="18">
        <f>COUNTIF(C12:I12,"SIM")</f>
        <v/>
      </c>
      <c r="K12" s="18">
        <f>COUNTIF(C12:I12,"NAO")</f>
        <v/>
      </c>
      <c r="L12" s="18">
        <f>COUNTIF(C12:I12,"0006/2026")+COUNTIF(C12:I12,"-")</f>
        <v/>
      </c>
      <c r="M12" s="17">
        <f>IF(J12&gt;=4,"Mesa completa",IF(J12=3,"Falta 1","ATENÇÃO: só "&amp;J12&amp;" presentes"))</f>
        <v/>
      </c>
      <c r="N12" s="19">
        <f>'Por secao'!N12</f>
        <v/>
      </c>
      <c r="O12" s="18">
        <f>'Por secao'!O12</f>
        <v/>
      </c>
    </row>
    <row r="13">
      <c r="A13" s="16">
        <f>'Por secao'!A13</f>
        <v/>
      </c>
      <c r="B13" s="17">
        <f>IFERROR(INDEX(Mesarios!$D$2:$D$112,MATCH($A13&amp;"|"&amp;B$1,Mesarios!$F$2:$F$112,0)),"VAGO")</f>
        <v/>
      </c>
      <c r="C13" s="18">
        <f>IFERROR(INDEX(Mesarios!$M$2:$M$112,MATCH($A13&amp;"|"&amp;B$1,Mesarios!$F$2:$F$112,0)),"VAGO")</f>
        <v/>
      </c>
      <c r="D13" s="17">
        <f>IFERROR(INDEX(Mesarios!$D$2:$D$112,MATCH($A13&amp;"|"&amp;D$1,Mesarios!$F$2:$F$112,0)),"VAGO")</f>
        <v/>
      </c>
      <c r="E13" s="18">
        <f>IFERROR(INDEX(Mesarios!$M$2:$M$112,MATCH($A13&amp;"|"&amp;D$1,Mesarios!$F$2:$F$112,0)),"VAGO")</f>
        <v/>
      </c>
      <c r="F13" s="17">
        <f>IFERROR(INDEX(Mesarios!$D$2:$D$112,MATCH($A13&amp;"|"&amp;F$1,Mesarios!$F$2:$F$112,0)),"VAGO")</f>
        <v/>
      </c>
      <c r="G13" s="18">
        <f>IFERROR(INDEX(Mesarios!$M$2:$M$112,MATCH($A13&amp;"|"&amp;F$1,Mesarios!$F$2:$F$112,0)),"VAGO")</f>
        <v/>
      </c>
      <c r="H13" s="17">
        <f>IFERROR(INDEX(Mesarios!$D$2:$D$112,MATCH($A13&amp;"|"&amp;H$1,Mesarios!$F$2:$F$112,0)),"VAGO")</f>
        <v/>
      </c>
      <c r="I13" s="18">
        <f>IFERROR(INDEX(Mesarios!$M$2:$M$112,MATCH($A13&amp;"|"&amp;H$1,Mesarios!$F$2:$F$112,0)),"VAGO")</f>
        <v/>
      </c>
      <c r="J13" s="18">
        <f>COUNTIF(C13:I13,"SIM")</f>
        <v/>
      </c>
      <c r="K13" s="18">
        <f>COUNTIF(C13:I13,"NAO")</f>
        <v/>
      </c>
      <c r="L13" s="18">
        <f>COUNTIF(C13:I13,"0006/2026")+COUNTIF(C13:I13,"-")</f>
        <v/>
      </c>
      <c r="M13" s="17">
        <f>IF(J13&gt;=4,"Mesa completa",IF(J13=3,"Falta 1","ATENÇÃO: só "&amp;J13&amp;" presentes"))</f>
        <v/>
      </c>
      <c r="N13" s="19">
        <f>'Por secao'!N13</f>
        <v/>
      </c>
      <c r="O13" s="18">
        <f>'Por secao'!O13</f>
        <v/>
      </c>
    </row>
    <row r="14">
      <c r="A14" s="16">
        <f>'Por secao'!A14</f>
        <v/>
      </c>
      <c r="B14" s="17">
        <f>IFERROR(INDEX(Mesarios!$D$2:$D$112,MATCH($A14&amp;"|"&amp;B$1,Mesarios!$F$2:$F$112,0)),"VAGO")</f>
        <v/>
      </c>
      <c r="C14" s="18">
        <f>IFERROR(INDEX(Mesarios!$M$2:$M$112,MATCH($A14&amp;"|"&amp;B$1,Mesarios!$F$2:$F$112,0)),"VAGO")</f>
        <v/>
      </c>
      <c r="D14" s="17">
        <f>IFERROR(INDEX(Mesarios!$D$2:$D$112,MATCH($A14&amp;"|"&amp;D$1,Mesarios!$F$2:$F$112,0)),"VAGO")</f>
        <v/>
      </c>
      <c r="E14" s="18">
        <f>IFERROR(INDEX(Mesarios!$M$2:$M$112,MATCH($A14&amp;"|"&amp;D$1,Mesarios!$F$2:$F$112,0)),"VAGO")</f>
        <v/>
      </c>
      <c r="F14" s="17">
        <f>IFERROR(INDEX(Mesarios!$D$2:$D$112,MATCH($A14&amp;"|"&amp;F$1,Mesarios!$F$2:$F$112,0)),"VAGO")</f>
        <v/>
      </c>
      <c r="G14" s="18">
        <f>IFERROR(INDEX(Mesarios!$M$2:$M$112,MATCH($A14&amp;"|"&amp;F$1,Mesarios!$F$2:$F$112,0)),"VAGO")</f>
        <v/>
      </c>
      <c r="H14" s="17">
        <f>IFERROR(INDEX(Mesarios!$D$2:$D$112,MATCH($A14&amp;"|"&amp;H$1,Mesarios!$F$2:$F$112,0)),"VAGO")</f>
        <v/>
      </c>
      <c r="I14" s="18">
        <f>IFERROR(INDEX(Mesarios!$M$2:$M$112,MATCH($A14&amp;"|"&amp;H$1,Mesarios!$F$2:$F$112,0)),"VAGO")</f>
        <v/>
      </c>
      <c r="J14" s="18">
        <f>COUNTIF(C14:I14,"SIM")</f>
        <v/>
      </c>
      <c r="K14" s="18">
        <f>COUNTIF(C14:I14,"NAO")</f>
        <v/>
      </c>
      <c r="L14" s="18">
        <f>COUNTIF(C14:I14,"0006/2026")+COUNTIF(C14:I14,"-")</f>
        <v/>
      </c>
      <c r="M14" s="17">
        <f>IF(J14&gt;=4,"Mesa completa",IF(J14=3,"Falta 1","ATENÇÃO: só "&amp;J14&amp;" presentes"))</f>
        <v/>
      </c>
      <c r="N14" s="19">
        <f>'Por secao'!N14</f>
        <v/>
      </c>
      <c r="O14" s="18">
        <f>'Por secao'!O14</f>
        <v/>
      </c>
    </row>
    <row r="15">
      <c r="A15" s="16">
        <f>'Por secao'!A15</f>
        <v/>
      </c>
      <c r="B15" s="17">
        <f>IFERROR(INDEX(Mesarios!$D$2:$D$112,MATCH($A15&amp;"|"&amp;B$1,Mesarios!$F$2:$F$112,0)),"VAGO")</f>
        <v/>
      </c>
      <c r="C15" s="18">
        <f>IFERROR(INDEX(Mesarios!$M$2:$M$112,MATCH($A15&amp;"|"&amp;B$1,Mesarios!$F$2:$F$112,0)),"VAGO")</f>
        <v/>
      </c>
      <c r="D15" s="17">
        <f>IFERROR(INDEX(Mesarios!$D$2:$D$112,MATCH($A15&amp;"|"&amp;D$1,Mesarios!$F$2:$F$112,0)),"VAGO")</f>
        <v/>
      </c>
      <c r="E15" s="18">
        <f>IFERROR(INDEX(Mesarios!$M$2:$M$112,MATCH($A15&amp;"|"&amp;D$1,Mesarios!$F$2:$F$112,0)),"VAGO")</f>
        <v/>
      </c>
      <c r="F15" s="17">
        <f>IFERROR(INDEX(Mesarios!$D$2:$D$112,MATCH($A15&amp;"|"&amp;F$1,Mesarios!$F$2:$F$112,0)),"VAGO")</f>
        <v/>
      </c>
      <c r="G15" s="18">
        <f>IFERROR(INDEX(Mesarios!$M$2:$M$112,MATCH($A15&amp;"|"&amp;F$1,Mesarios!$F$2:$F$112,0)),"VAGO")</f>
        <v/>
      </c>
      <c r="H15" s="17">
        <f>IFERROR(INDEX(Mesarios!$D$2:$D$112,MATCH($A15&amp;"|"&amp;H$1,Mesarios!$F$2:$F$112,0)),"VAGO")</f>
        <v/>
      </c>
      <c r="I15" s="18">
        <f>IFERROR(INDEX(Mesarios!$M$2:$M$112,MATCH($A15&amp;"|"&amp;H$1,Mesarios!$F$2:$F$112,0)),"VAGO")</f>
        <v/>
      </c>
      <c r="J15" s="18">
        <f>COUNTIF(C15:I15,"SIM")</f>
        <v/>
      </c>
      <c r="K15" s="18">
        <f>COUNTIF(C15:I15,"NAO")</f>
        <v/>
      </c>
      <c r="L15" s="18">
        <f>COUNTIF(C15:I15,"0006/2026")+COUNTIF(C15:I15,"-")</f>
        <v/>
      </c>
      <c r="M15" s="17">
        <f>IF(J15&gt;=4,"Mesa completa",IF(J15=3,"Falta 1","ATENÇÃO: só "&amp;J15&amp;" presentes"))</f>
        <v/>
      </c>
      <c r="N15" s="19">
        <f>'Por secao'!N15</f>
        <v/>
      </c>
      <c r="O15" s="18">
        <f>'Por secao'!O15</f>
        <v/>
      </c>
    </row>
    <row r="16">
      <c r="A16" s="16">
        <f>'Por secao'!A16</f>
        <v/>
      </c>
      <c r="B16" s="17">
        <f>IFERROR(INDEX(Mesarios!$D$2:$D$112,MATCH($A16&amp;"|"&amp;B$1,Mesarios!$F$2:$F$112,0)),"VAGO")</f>
        <v/>
      </c>
      <c r="C16" s="18">
        <f>IFERROR(INDEX(Mesarios!$M$2:$M$112,MATCH($A16&amp;"|"&amp;B$1,Mesarios!$F$2:$F$112,0)),"VAGO")</f>
        <v/>
      </c>
      <c r="D16" s="17">
        <f>IFERROR(INDEX(Mesarios!$D$2:$D$112,MATCH($A16&amp;"|"&amp;D$1,Mesarios!$F$2:$F$112,0)),"VAGO")</f>
        <v/>
      </c>
      <c r="E16" s="18">
        <f>IFERROR(INDEX(Mesarios!$M$2:$M$112,MATCH($A16&amp;"|"&amp;D$1,Mesarios!$F$2:$F$112,0)),"VAGO")</f>
        <v/>
      </c>
      <c r="F16" s="17">
        <f>IFERROR(INDEX(Mesarios!$D$2:$D$112,MATCH($A16&amp;"|"&amp;F$1,Mesarios!$F$2:$F$112,0)),"VAGO")</f>
        <v/>
      </c>
      <c r="G16" s="18">
        <f>IFERROR(INDEX(Mesarios!$M$2:$M$112,MATCH($A16&amp;"|"&amp;F$1,Mesarios!$F$2:$F$112,0)),"VAGO")</f>
        <v/>
      </c>
      <c r="H16" s="17">
        <f>IFERROR(INDEX(Mesarios!$D$2:$D$112,MATCH($A16&amp;"|"&amp;H$1,Mesarios!$F$2:$F$112,0)),"VAGO")</f>
        <v/>
      </c>
      <c r="I16" s="18">
        <f>IFERROR(INDEX(Mesarios!$M$2:$M$112,MATCH($A16&amp;"|"&amp;H$1,Mesarios!$F$2:$F$112,0)),"VAGO")</f>
        <v/>
      </c>
      <c r="J16" s="18">
        <f>COUNTIF(C16:I16,"SIM")</f>
        <v/>
      </c>
      <c r="K16" s="18">
        <f>COUNTIF(C16:I16,"NAO")</f>
        <v/>
      </c>
      <c r="L16" s="18">
        <f>COUNTIF(C16:I16,"0006/2026")+COUNTIF(C16:I16,"-")</f>
        <v/>
      </c>
      <c r="M16" s="17">
        <f>IF(J16&gt;=4,"Mesa completa",IF(J16=3,"Falta 1","ATENÇÃO: só "&amp;J16&amp;" presentes"))</f>
        <v/>
      </c>
      <c r="N16" s="19">
        <f>'Por secao'!N16</f>
        <v/>
      </c>
      <c r="O16" s="18">
        <f>'Por secao'!O16</f>
        <v/>
      </c>
    </row>
    <row r="17">
      <c r="A17" s="16">
        <f>'Por secao'!A17</f>
        <v/>
      </c>
      <c r="B17" s="17">
        <f>IFERROR(INDEX(Mesarios!$D$2:$D$112,MATCH($A17&amp;"|"&amp;B$1,Mesarios!$F$2:$F$112,0)),"VAGO")</f>
        <v/>
      </c>
      <c r="C17" s="18">
        <f>IFERROR(INDEX(Mesarios!$M$2:$M$112,MATCH($A17&amp;"|"&amp;B$1,Mesarios!$F$2:$F$112,0)),"VAGO")</f>
        <v/>
      </c>
      <c r="D17" s="17">
        <f>IFERROR(INDEX(Mesarios!$D$2:$D$112,MATCH($A17&amp;"|"&amp;D$1,Mesarios!$F$2:$F$112,0)),"VAGO")</f>
        <v/>
      </c>
      <c r="E17" s="18">
        <f>IFERROR(INDEX(Mesarios!$M$2:$M$112,MATCH($A17&amp;"|"&amp;D$1,Mesarios!$F$2:$F$112,0)),"VAGO")</f>
        <v/>
      </c>
      <c r="F17" s="17">
        <f>IFERROR(INDEX(Mesarios!$D$2:$D$112,MATCH($A17&amp;"|"&amp;F$1,Mesarios!$F$2:$F$112,0)),"VAGO")</f>
        <v/>
      </c>
      <c r="G17" s="18">
        <f>IFERROR(INDEX(Mesarios!$M$2:$M$112,MATCH($A17&amp;"|"&amp;F$1,Mesarios!$F$2:$F$112,0)),"VAGO")</f>
        <v/>
      </c>
      <c r="H17" s="17">
        <f>IFERROR(INDEX(Mesarios!$D$2:$D$112,MATCH($A17&amp;"|"&amp;H$1,Mesarios!$F$2:$F$112,0)),"VAGO")</f>
        <v/>
      </c>
      <c r="I17" s="18">
        <f>IFERROR(INDEX(Mesarios!$M$2:$M$112,MATCH($A17&amp;"|"&amp;H$1,Mesarios!$F$2:$F$112,0)),"VAGO")</f>
        <v/>
      </c>
      <c r="J17" s="18">
        <f>COUNTIF(C17:I17,"SIM")</f>
        <v/>
      </c>
      <c r="K17" s="18">
        <f>COUNTIF(C17:I17,"NAO")</f>
        <v/>
      </c>
      <c r="L17" s="18">
        <f>COUNTIF(C17:I17,"0006/2026")+COUNTIF(C17:I17,"-")</f>
        <v/>
      </c>
      <c r="M17" s="17">
        <f>IF(J17&gt;=4,"Mesa completa",IF(J17=3,"Falta 1","ATENÇÃO: só "&amp;J17&amp;" presentes"))</f>
        <v/>
      </c>
      <c r="N17" s="19">
        <f>'Por secao'!N17</f>
        <v/>
      </c>
      <c r="O17" s="18">
        <f>'Por secao'!O17</f>
        <v/>
      </c>
    </row>
    <row r="18">
      <c r="A18" s="16">
        <f>'Por secao'!A18</f>
        <v/>
      </c>
      <c r="B18" s="17">
        <f>IFERROR(INDEX(Mesarios!$D$2:$D$112,MATCH($A18&amp;"|"&amp;B$1,Mesarios!$F$2:$F$112,0)),"VAGO")</f>
        <v/>
      </c>
      <c r="C18" s="18">
        <f>IFERROR(INDEX(Mesarios!$M$2:$M$112,MATCH($A18&amp;"|"&amp;B$1,Mesarios!$F$2:$F$112,0)),"VAGO")</f>
        <v/>
      </c>
      <c r="D18" s="17">
        <f>IFERROR(INDEX(Mesarios!$D$2:$D$112,MATCH($A18&amp;"|"&amp;D$1,Mesarios!$F$2:$F$112,0)),"VAGO")</f>
        <v/>
      </c>
      <c r="E18" s="18">
        <f>IFERROR(INDEX(Mesarios!$M$2:$M$112,MATCH($A18&amp;"|"&amp;D$1,Mesarios!$F$2:$F$112,0)),"VAGO")</f>
        <v/>
      </c>
      <c r="F18" s="17">
        <f>IFERROR(INDEX(Mesarios!$D$2:$D$112,MATCH($A18&amp;"|"&amp;F$1,Mesarios!$F$2:$F$112,0)),"VAGO")</f>
        <v/>
      </c>
      <c r="G18" s="18">
        <f>IFERROR(INDEX(Mesarios!$M$2:$M$112,MATCH($A18&amp;"|"&amp;F$1,Mesarios!$F$2:$F$112,0)),"VAGO")</f>
        <v/>
      </c>
      <c r="H18" s="17">
        <f>IFERROR(INDEX(Mesarios!$D$2:$D$112,MATCH($A18&amp;"|"&amp;H$1,Mesarios!$F$2:$F$112,0)),"VAGO")</f>
        <v/>
      </c>
      <c r="I18" s="18">
        <f>IFERROR(INDEX(Mesarios!$M$2:$M$112,MATCH($A18&amp;"|"&amp;H$1,Mesarios!$F$2:$F$112,0)),"VAGO")</f>
        <v/>
      </c>
      <c r="J18" s="18">
        <f>COUNTIF(C18:I18,"SIM")</f>
        <v/>
      </c>
      <c r="K18" s="18">
        <f>COUNTIF(C18:I18,"NAO")</f>
        <v/>
      </c>
      <c r="L18" s="18">
        <f>COUNTIF(C18:I18,"0006/2026")+COUNTIF(C18:I18,"-")</f>
        <v/>
      </c>
      <c r="M18" s="17">
        <f>IF(J18&gt;=4,"Mesa completa",IF(J18=3,"Falta 1","ATENÇÃO: só "&amp;J18&amp;" presentes"))</f>
        <v/>
      </c>
      <c r="N18" s="19">
        <f>'Por secao'!N18</f>
        <v/>
      </c>
      <c r="O18" s="18">
        <f>'Por secao'!O18</f>
        <v/>
      </c>
    </row>
    <row r="19">
      <c r="A19" s="16">
        <f>'Por secao'!A19</f>
        <v/>
      </c>
      <c r="B19" s="17">
        <f>IFERROR(INDEX(Mesarios!$D$2:$D$112,MATCH($A19&amp;"|"&amp;B$1,Mesarios!$F$2:$F$112,0)),"VAGO")</f>
        <v/>
      </c>
      <c r="C19" s="18">
        <f>IFERROR(INDEX(Mesarios!$M$2:$M$112,MATCH($A19&amp;"|"&amp;B$1,Mesarios!$F$2:$F$112,0)),"VAGO")</f>
        <v/>
      </c>
      <c r="D19" s="17">
        <f>IFERROR(INDEX(Mesarios!$D$2:$D$112,MATCH($A19&amp;"|"&amp;D$1,Mesarios!$F$2:$F$112,0)),"VAGO")</f>
        <v/>
      </c>
      <c r="E19" s="18">
        <f>IFERROR(INDEX(Mesarios!$M$2:$M$112,MATCH($A19&amp;"|"&amp;D$1,Mesarios!$F$2:$F$112,0)),"VAGO")</f>
        <v/>
      </c>
      <c r="F19" s="17">
        <f>IFERROR(INDEX(Mesarios!$D$2:$D$112,MATCH($A19&amp;"|"&amp;F$1,Mesarios!$F$2:$F$112,0)),"VAGO")</f>
        <v/>
      </c>
      <c r="G19" s="18">
        <f>IFERROR(INDEX(Mesarios!$M$2:$M$112,MATCH($A19&amp;"|"&amp;F$1,Mesarios!$F$2:$F$112,0)),"VAGO")</f>
        <v/>
      </c>
      <c r="H19" s="17">
        <f>IFERROR(INDEX(Mesarios!$D$2:$D$112,MATCH($A19&amp;"|"&amp;H$1,Mesarios!$F$2:$F$112,0)),"VAGO")</f>
        <v/>
      </c>
      <c r="I19" s="18">
        <f>IFERROR(INDEX(Mesarios!$M$2:$M$112,MATCH($A19&amp;"|"&amp;H$1,Mesarios!$F$2:$F$112,0)),"VAGO")</f>
        <v/>
      </c>
      <c r="J19" s="18">
        <f>COUNTIF(C19:I19,"SIM")</f>
        <v/>
      </c>
      <c r="K19" s="18">
        <f>COUNTIF(C19:I19,"NAO")</f>
        <v/>
      </c>
      <c r="L19" s="18">
        <f>COUNTIF(C19:I19,"0006/2026")+COUNTIF(C19:I19,"-")</f>
        <v/>
      </c>
      <c r="M19" s="17">
        <f>IF(J19&gt;=4,"Mesa completa",IF(J19=3,"Falta 1","ATENÇÃO: só "&amp;J19&amp;" presentes"))</f>
        <v/>
      </c>
      <c r="N19" s="19">
        <f>'Por secao'!N19</f>
        <v/>
      </c>
      <c r="O19" s="18">
        <f>'Por secao'!O19</f>
        <v/>
      </c>
    </row>
    <row r="20">
      <c r="A20" s="16">
        <f>'Por secao'!A20</f>
        <v/>
      </c>
      <c r="B20" s="17">
        <f>IFERROR(INDEX(Mesarios!$D$2:$D$112,MATCH($A20&amp;"|"&amp;B$1,Mesarios!$F$2:$F$112,0)),"VAGO")</f>
        <v/>
      </c>
      <c r="C20" s="18">
        <f>IFERROR(INDEX(Mesarios!$M$2:$M$112,MATCH($A20&amp;"|"&amp;B$1,Mesarios!$F$2:$F$112,0)),"VAGO")</f>
        <v/>
      </c>
      <c r="D20" s="17">
        <f>IFERROR(INDEX(Mesarios!$D$2:$D$112,MATCH($A20&amp;"|"&amp;D$1,Mesarios!$F$2:$F$112,0)),"VAGO")</f>
        <v/>
      </c>
      <c r="E20" s="18">
        <f>IFERROR(INDEX(Mesarios!$M$2:$M$112,MATCH($A20&amp;"|"&amp;D$1,Mesarios!$F$2:$F$112,0)),"VAGO")</f>
        <v/>
      </c>
      <c r="F20" s="17">
        <f>IFERROR(INDEX(Mesarios!$D$2:$D$112,MATCH($A20&amp;"|"&amp;F$1,Mesarios!$F$2:$F$112,0)),"VAGO")</f>
        <v/>
      </c>
      <c r="G20" s="18">
        <f>IFERROR(INDEX(Mesarios!$M$2:$M$112,MATCH($A20&amp;"|"&amp;F$1,Mesarios!$F$2:$F$112,0)),"VAGO")</f>
        <v/>
      </c>
      <c r="H20" s="17">
        <f>IFERROR(INDEX(Mesarios!$D$2:$D$112,MATCH($A20&amp;"|"&amp;H$1,Mesarios!$F$2:$F$112,0)),"VAGO")</f>
        <v/>
      </c>
      <c r="I20" s="18">
        <f>IFERROR(INDEX(Mesarios!$M$2:$M$112,MATCH($A20&amp;"|"&amp;H$1,Mesarios!$F$2:$F$112,0)),"VAGO")</f>
        <v/>
      </c>
      <c r="J20" s="18">
        <f>COUNTIF(C20:I20,"SIM")</f>
        <v/>
      </c>
      <c r="K20" s="18">
        <f>COUNTIF(C20:I20,"NAO")</f>
        <v/>
      </c>
      <c r="L20" s="18">
        <f>COUNTIF(C20:I20,"0006/2026")+COUNTIF(C20:I20,"-")</f>
        <v/>
      </c>
      <c r="M20" s="17">
        <f>IF(J20&gt;=4,"Mesa completa",IF(J20=3,"Falta 1","ATENÇÃO: só "&amp;J20&amp;" presentes"))</f>
        <v/>
      </c>
      <c r="N20" s="19">
        <f>'Por secao'!N20</f>
        <v/>
      </c>
      <c r="O20" s="18">
        <f>'Por secao'!O20</f>
        <v/>
      </c>
    </row>
    <row r="21">
      <c r="A21" s="16">
        <f>'Por secao'!A21</f>
        <v/>
      </c>
      <c r="B21" s="17">
        <f>IFERROR(INDEX(Mesarios!$D$2:$D$112,MATCH($A21&amp;"|"&amp;B$1,Mesarios!$F$2:$F$112,0)),"VAGO")</f>
        <v/>
      </c>
      <c r="C21" s="18">
        <f>IFERROR(INDEX(Mesarios!$M$2:$M$112,MATCH($A21&amp;"|"&amp;B$1,Mesarios!$F$2:$F$112,0)),"VAGO")</f>
        <v/>
      </c>
      <c r="D21" s="17">
        <f>IFERROR(INDEX(Mesarios!$D$2:$D$112,MATCH($A21&amp;"|"&amp;D$1,Mesarios!$F$2:$F$112,0)),"VAGO")</f>
        <v/>
      </c>
      <c r="E21" s="18">
        <f>IFERROR(INDEX(Mesarios!$M$2:$M$112,MATCH($A21&amp;"|"&amp;D$1,Mesarios!$F$2:$F$112,0)),"VAGO")</f>
        <v/>
      </c>
      <c r="F21" s="17">
        <f>IFERROR(INDEX(Mesarios!$D$2:$D$112,MATCH($A21&amp;"|"&amp;F$1,Mesarios!$F$2:$F$112,0)),"VAGO")</f>
        <v/>
      </c>
      <c r="G21" s="18">
        <f>IFERROR(INDEX(Mesarios!$M$2:$M$112,MATCH($A21&amp;"|"&amp;F$1,Mesarios!$F$2:$F$112,0)),"VAGO")</f>
        <v/>
      </c>
      <c r="H21" s="17">
        <f>IFERROR(INDEX(Mesarios!$D$2:$D$112,MATCH($A21&amp;"|"&amp;H$1,Mesarios!$F$2:$F$112,0)),"VAGO")</f>
        <v/>
      </c>
      <c r="I21" s="18">
        <f>IFERROR(INDEX(Mesarios!$M$2:$M$112,MATCH($A21&amp;"|"&amp;H$1,Mesarios!$F$2:$F$112,0)),"VAGO")</f>
        <v/>
      </c>
      <c r="J21" s="18">
        <f>COUNTIF(C21:I21,"SIM")</f>
        <v/>
      </c>
      <c r="K21" s="18">
        <f>COUNTIF(C21:I21,"NAO")</f>
        <v/>
      </c>
      <c r="L21" s="18">
        <f>COUNTIF(C21:I21,"0006/2026")+COUNTIF(C21:I21,"-")</f>
        <v/>
      </c>
      <c r="M21" s="17">
        <f>IF(J21&gt;=4,"Mesa completa",IF(J21=3,"Falta 1","ATENÇÃO: só "&amp;J21&amp;" presentes"))</f>
        <v/>
      </c>
      <c r="N21" s="19">
        <f>'Por secao'!N21</f>
        <v/>
      </c>
      <c r="O21" s="18">
        <f>'Por secao'!O21</f>
        <v/>
      </c>
    </row>
    <row r="22">
      <c r="A22" s="16">
        <f>'Por secao'!A22</f>
        <v/>
      </c>
      <c r="B22" s="17">
        <f>IFERROR(INDEX(Mesarios!$D$2:$D$112,MATCH($A22&amp;"|"&amp;B$1,Mesarios!$F$2:$F$112,0)),"VAGO")</f>
        <v/>
      </c>
      <c r="C22" s="18">
        <f>IFERROR(INDEX(Mesarios!$M$2:$M$112,MATCH($A22&amp;"|"&amp;B$1,Mesarios!$F$2:$F$112,0)),"VAGO")</f>
        <v/>
      </c>
      <c r="D22" s="17">
        <f>IFERROR(INDEX(Mesarios!$D$2:$D$112,MATCH($A22&amp;"|"&amp;D$1,Mesarios!$F$2:$F$112,0)),"VAGO")</f>
        <v/>
      </c>
      <c r="E22" s="18">
        <f>IFERROR(INDEX(Mesarios!$M$2:$M$112,MATCH($A22&amp;"|"&amp;D$1,Mesarios!$F$2:$F$112,0)),"VAGO")</f>
        <v/>
      </c>
      <c r="F22" s="17">
        <f>IFERROR(INDEX(Mesarios!$D$2:$D$112,MATCH($A22&amp;"|"&amp;F$1,Mesarios!$F$2:$F$112,0)),"VAGO")</f>
        <v/>
      </c>
      <c r="G22" s="18">
        <f>IFERROR(INDEX(Mesarios!$M$2:$M$112,MATCH($A22&amp;"|"&amp;F$1,Mesarios!$F$2:$F$112,0)),"VAGO")</f>
        <v/>
      </c>
      <c r="H22" s="17">
        <f>IFERROR(INDEX(Mesarios!$D$2:$D$112,MATCH($A22&amp;"|"&amp;H$1,Mesarios!$F$2:$F$112,0)),"VAGO")</f>
        <v/>
      </c>
      <c r="I22" s="18">
        <f>IFERROR(INDEX(Mesarios!$M$2:$M$112,MATCH($A22&amp;"|"&amp;H$1,Mesarios!$F$2:$F$112,0)),"VAGO")</f>
        <v/>
      </c>
      <c r="J22" s="18">
        <f>COUNTIF(C22:I22,"SIM")</f>
        <v/>
      </c>
      <c r="K22" s="18">
        <f>COUNTIF(C22:I22,"NAO")</f>
        <v/>
      </c>
      <c r="L22" s="18">
        <f>COUNTIF(C22:I22,"0006/2026")+COUNTIF(C22:I22,"-")</f>
        <v/>
      </c>
      <c r="M22" s="17">
        <f>IF(J22&gt;=4,"Mesa completa",IF(J22=3,"Falta 1","ATENÇÃO: só "&amp;J22&amp;" presentes"))</f>
        <v/>
      </c>
      <c r="N22" s="19">
        <f>'Por secao'!N22</f>
        <v/>
      </c>
      <c r="O22" s="18">
        <f>'Por secao'!O22</f>
        <v/>
      </c>
    </row>
    <row r="23">
      <c r="A23" s="16">
        <f>'Por secao'!A23</f>
        <v/>
      </c>
      <c r="B23" s="17">
        <f>IFERROR(INDEX(Mesarios!$D$2:$D$112,MATCH($A23&amp;"|"&amp;B$1,Mesarios!$F$2:$F$112,0)),"VAGO")</f>
        <v/>
      </c>
      <c r="C23" s="18">
        <f>IFERROR(INDEX(Mesarios!$M$2:$M$112,MATCH($A23&amp;"|"&amp;B$1,Mesarios!$F$2:$F$112,0)),"VAGO")</f>
        <v/>
      </c>
      <c r="D23" s="17">
        <f>IFERROR(INDEX(Mesarios!$D$2:$D$112,MATCH($A23&amp;"|"&amp;D$1,Mesarios!$F$2:$F$112,0)),"VAGO")</f>
        <v/>
      </c>
      <c r="E23" s="18">
        <f>IFERROR(INDEX(Mesarios!$M$2:$M$112,MATCH($A23&amp;"|"&amp;D$1,Mesarios!$F$2:$F$112,0)),"VAGO")</f>
        <v/>
      </c>
      <c r="F23" s="17">
        <f>IFERROR(INDEX(Mesarios!$D$2:$D$112,MATCH($A23&amp;"|"&amp;F$1,Mesarios!$F$2:$F$112,0)),"VAGO")</f>
        <v/>
      </c>
      <c r="G23" s="18">
        <f>IFERROR(INDEX(Mesarios!$M$2:$M$112,MATCH($A23&amp;"|"&amp;F$1,Mesarios!$F$2:$F$112,0)),"VAGO")</f>
        <v/>
      </c>
      <c r="H23" s="17">
        <f>IFERROR(INDEX(Mesarios!$D$2:$D$112,MATCH($A23&amp;"|"&amp;H$1,Mesarios!$F$2:$F$112,0)),"VAGO")</f>
        <v/>
      </c>
      <c r="I23" s="18">
        <f>IFERROR(INDEX(Mesarios!$M$2:$M$112,MATCH($A23&amp;"|"&amp;H$1,Mesarios!$F$2:$F$112,0)),"VAGO")</f>
        <v/>
      </c>
      <c r="J23" s="18">
        <f>COUNTIF(C23:I23,"SIM")</f>
        <v/>
      </c>
      <c r="K23" s="18">
        <f>COUNTIF(C23:I23,"NAO")</f>
        <v/>
      </c>
      <c r="L23" s="18">
        <f>COUNTIF(C23:I23,"0006/2026")+COUNTIF(C23:I23,"-")</f>
        <v/>
      </c>
      <c r="M23" s="17">
        <f>IF(J23&gt;=4,"Mesa completa",IF(J23=3,"Falta 1","ATENÇÃO: só "&amp;J23&amp;" presentes"))</f>
        <v/>
      </c>
      <c r="N23" s="19">
        <f>'Por secao'!N23</f>
        <v/>
      </c>
      <c r="O23" s="18">
        <f>'Por secao'!O23</f>
        <v/>
      </c>
    </row>
    <row r="24">
      <c r="A24" s="16">
        <f>'Por secao'!A24</f>
        <v/>
      </c>
      <c r="B24" s="17">
        <f>IFERROR(INDEX(Mesarios!$D$2:$D$112,MATCH($A24&amp;"|"&amp;B$1,Mesarios!$F$2:$F$112,0)),"VAGO")</f>
        <v/>
      </c>
      <c r="C24" s="18">
        <f>IFERROR(INDEX(Mesarios!$M$2:$M$112,MATCH($A24&amp;"|"&amp;B$1,Mesarios!$F$2:$F$112,0)),"VAGO")</f>
        <v/>
      </c>
      <c r="D24" s="17">
        <f>IFERROR(INDEX(Mesarios!$D$2:$D$112,MATCH($A24&amp;"|"&amp;D$1,Mesarios!$F$2:$F$112,0)),"VAGO")</f>
        <v/>
      </c>
      <c r="E24" s="18">
        <f>IFERROR(INDEX(Mesarios!$M$2:$M$112,MATCH($A24&amp;"|"&amp;D$1,Mesarios!$F$2:$F$112,0)),"VAGO")</f>
        <v/>
      </c>
      <c r="F24" s="17">
        <f>IFERROR(INDEX(Mesarios!$D$2:$D$112,MATCH($A24&amp;"|"&amp;F$1,Mesarios!$F$2:$F$112,0)),"VAGO")</f>
        <v/>
      </c>
      <c r="G24" s="18">
        <f>IFERROR(INDEX(Mesarios!$M$2:$M$112,MATCH($A24&amp;"|"&amp;F$1,Mesarios!$F$2:$F$112,0)),"VAGO")</f>
        <v/>
      </c>
      <c r="H24" s="17">
        <f>IFERROR(INDEX(Mesarios!$D$2:$D$112,MATCH($A24&amp;"|"&amp;H$1,Mesarios!$F$2:$F$112,0)),"VAGO")</f>
        <v/>
      </c>
      <c r="I24" s="18">
        <f>IFERROR(INDEX(Mesarios!$M$2:$M$112,MATCH($A24&amp;"|"&amp;H$1,Mesarios!$F$2:$F$112,0)),"VAGO")</f>
        <v/>
      </c>
      <c r="J24" s="18">
        <f>COUNTIF(C24:I24,"SIM")</f>
        <v/>
      </c>
      <c r="K24" s="18">
        <f>COUNTIF(C24:I24,"NAO")</f>
        <v/>
      </c>
      <c r="L24" s="18">
        <f>COUNTIF(C24:I24,"0006/2026")+COUNTIF(C24:I24,"-")</f>
        <v/>
      </c>
      <c r="M24" s="17">
        <f>IF(J24&gt;=4,"Mesa completa",IF(J24=3,"Falta 1","ATENÇÃO: só "&amp;J24&amp;" presentes"))</f>
        <v/>
      </c>
      <c r="N24" s="19">
        <f>'Por secao'!N24</f>
        <v/>
      </c>
      <c r="O24" s="18">
        <f>'Por secao'!O24</f>
        <v/>
      </c>
    </row>
    <row r="25">
      <c r="A25" s="16">
        <f>'Por secao'!A25</f>
        <v/>
      </c>
      <c r="B25" s="17">
        <f>IFERROR(INDEX(Mesarios!$D$2:$D$112,MATCH($A25&amp;"|"&amp;B$1,Mesarios!$F$2:$F$112,0)),"VAGO")</f>
        <v/>
      </c>
      <c r="C25" s="18">
        <f>IFERROR(INDEX(Mesarios!$M$2:$M$112,MATCH($A25&amp;"|"&amp;B$1,Mesarios!$F$2:$F$112,0)),"VAGO")</f>
        <v/>
      </c>
      <c r="D25" s="17">
        <f>IFERROR(INDEX(Mesarios!$D$2:$D$112,MATCH($A25&amp;"|"&amp;D$1,Mesarios!$F$2:$F$112,0)),"VAGO")</f>
        <v/>
      </c>
      <c r="E25" s="18">
        <f>IFERROR(INDEX(Mesarios!$M$2:$M$112,MATCH($A25&amp;"|"&amp;D$1,Mesarios!$F$2:$F$112,0)),"VAGO")</f>
        <v/>
      </c>
      <c r="F25" s="17">
        <f>IFERROR(INDEX(Mesarios!$D$2:$D$112,MATCH($A25&amp;"|"&amp;F$1,Mesarios!$F$2:$F$112,0)),"VAGO")</f>
        <v/>
      </c>
      <c r="G25" s="18">
        <f>IFERROR(INDEX(Mesarios!$M$2:$M$112,MATCH($A25&amp;"|"&amp;F$1,Mesarios!$F$2:$F$112,0)),"VAGO")</f>
        <v/>
      </c>
      <c r="H25" s="17">
        <f>IFERROR(INDEX(Mesarios!$D$2:$D$112,MATCH($A25&amp;"|"&amp;H$1,Mesarios!$F$2:$F$112,0)),"VAGO")</f>
        <v/>
      </c>
      <c r="I25" s="18">
        <f>IFERROR(INDEX(Mesarios!$M$2:$M$112,MATCH($A25&amp;"|"&amp;H$1,Mesarios!$F$2:$F$112,0)),"VAGO")</f>
        <v/>
      </c>
      <c r="J25" s="18">
        <f>COUNTIF(C25:I25,"SIM")</f>
        <v/>
      </c>
      <c r="K25" s="18">
        <f>COUNTIF(C25:I25,"NAO")</f>
        <v/>
      </c>
      <c r="L25" s="18">
        <f>COUNTIF(C25:I25,"0006/2026")+COUNTIF(C25:I25,"-")</f>
        <v/>
      </c>
      <c r="M25" s="17">
        <f>IF(J25&gt;=4,"Mesa completa",IF(J25=3,"Falta 1","ATENÇÃO: só "&amp;J25&amp;" presentes"))</f>
        <v/>
      </c>
      <c r="N25" s="19">
        <f>'Por secao'!N25</f>
        <v/>
      </c>
      <c r="O25" s="18">
        <f>'Por secao'!O25</f>
        <v/>
      </c>
    </row>
    <row r="26">
      <c r="A26" s="16">
        <f>'Por secao'!A26</f>
        <v/>
      </c>
      <c r="B26" s="17">
        <f>IFERROR(INDEX(Mesarios!$D$2:$D$112,MATCH($A26&amp;"|"&amp;B$1,Mesarios!$F$2:$F$112,0)),"VAGO")</f>
        <v/>
      </c>
      <c r="C26" s="18">
        <f>IFERROR(INDEX(Mesarios!$M$2:$M$112,MATCH($A26&amp;"|"&amp;B$1,Mesarios!$F$2:$F$112,0)),"VAGO")</f>
        <v/>
      </c>
      <c r="D26" s="17">
        <f>IFERROR(INDEX(Mesarios!$D$2:$D$112,MATCH($A26&amp;"|"&amp;D$1,Mesarios!$F$2:$F$112,0)),"VAGO")</f>
        <v/>
      </c>
      <c r="E26" s="18">
        <f>IFERROR(INDEX(Mesarios!$M$2:$M$112,MATCH($A26&amp;"|"&amp;D$1,Mesarios!$F$2:$F$112,0)),"VAGO")</f>
        <v/>
      </c>
      <c r="F26" s="17">
        <f>IFERROR(INDEX(Mesarios!$D$2:$D$112,MATCH($A26&amp;"|"&amp;F$1,Mesarios!$F$2:$F$112,0)),"VAGO")</f>
        <v/>
      </c>
      <c r="G26" s="18">
        <f>IFERROR(INDEX(Mesarios!$M$2:$M$112,MATCH($A26&amp;"|"&amp;F$1,Mesarios!$F$2:$F$112,0)),"VAGO")</f>
        <v/>
      </c>
      <c r="H26" s="17">
        <f>IFERROR(INDEX(Mesarios!$D$2:$D$112,MATCH($A26&amp;"|"&amp;H$1,Mesarios!$F$2:$F$112,0)),"VAGO")</f>
        <v/>
      </c>
      <c r="I26" s="18">
        <f>IFERROR(INDEX(Mesarios!$M$2:$M$112,MATCH($A26&amp;"|"&amp;H$1,Mesarios!$F$2:$F$112,0)),"VAGO")</f>
        <v/>
      </c>
      <c r="J26" s="18">
        <f>COUNTIF(C26:I26,"SIM")</f>
        <v/>
      </c>
      <c r="K26" s="18">
        <f>COUNTIF(C26:I26,"NAO")</f>
        <v/>
      </c>
      <c r="L26" s="18">
        <f>COUNTIF(C26:I26,"0006/2026")+COUNTIF(C26:I26,"-")</f>
        <v/>
      </c>
      <c r="M26" s="17">
        <f>IF(J26&gt;=4,"Mesa completa",IF(J26=3,"Falta 1","ATENÇÃO: só "&amp;J26&amp;" presentes"))</f>
        <v/>
      </c>
      <c r="N26" s="19">
        <f>'Por secao'!N26</f>
        <v/>
      </c>
      <c r="O26" s="18">
        <f>'Por secao'!O26</f>
        <v/>
      </c>
    </row>
    <row r="27">
      <c r="A27" s="16">
        <f>'Por secao'!A27</f>
        <v/>
      </c>
      <c r="B27" s="17">
        <f>IFERROR(INDEX(Mesarios!$D$2:$D$112,MATCH($A27&amp;"|"&amp;B$1,Mesarios!$F$2:$F$112,0)),"VAGO")</f>
        <v/>
      </c>
      <c r="C27" s="18">
        <f>IFERROR(INDEX(Mesarios!$M$2:$M$112,MATCH($A27&amp;"|"&amp;B$1,Mesarios!$F$2:$F$112,0)),"VAGO")</f>
        <v/>
      </c>
      <c r="D27" s="17">
        <f>IFERROR(INDEX(Mesarios!$D$2:$D$112,MATCH($A27&amp;"|"&amp;D$1,Mesarios!$F$2:$F$112,0)),"VAGO")</f>
        <v/>
      </c>
      <c r="E27" s="18">
        <f>IFERROR(INDEX(Mesarios!$M$2:$M$112,MATCH($A27&amp;"|"&amp;D$1,Mesarios!$F$2:$F$112,0)),"VAGO")</f>
        <v/>
      </c>
      <c r="F27" s="17">
        <f>IFERROR(INDEX(Mesarios!$D$2:$D$112,MATCH($A27&amp;"|"&amp;F$1,Mesarios!$F$2:$F$112,0)),"VAGO")</f>
        <v/>
      </c>
      <c r="G27" s="18">
        <f>IFERROR(INDEX(Mesarios!$M$2:$M$112,MATCH($A27&amp;"|"&amp;F$1,Mesarios!$F$2:$F$112,0)),"VAGO")</f>
        <v/>
      </c>
      <c r="H27" s="17">
        <f>IFERROR(INDEX(Mesarios!$D$2:$D$112,MATCH($A27&amp;"|"&amp;H$1,Mesarios!$F$2:$F$112,0)),"VAGO")</f>
        <v/>
      </c>
      <c r="I27" s="18">
        <f>IFERROR(INDEX(Mesarios!$M$2:$M$112,MATCH($A27&amp;"|"&amp;H$1,Mesarios!$F$2:$F$112,0)),"VAGO")</f>
        <v/>
      </c>
      <c r="J27" s="18">
        <f>COUNTIF(C27:I27,"SIM")</f>
        <v/>
      </c>
      <c r="K27" s="18">
        <f>COUNTIF(C27:I27,"NAO")</f>
        <v/>
      </c>
      <c r="L27" s="18">
        <f>COUNTIF(C27:I27,"0006/2026")+COUNTIF(C27:I27,"-")</f>
        <v/>
      </c>
      <c r="M27" s="17">
        <f>IF(J27&gt;=4,"Mesa completa",IF(J27=3,"Falta 1","ATENÇÃO: só "&amp;J27&amp;" presentes"))</f>
        <v/>
      </c>
      <c r="N27" s="19">
        <f>'Por secao'!N27</f>
        <v/>
      </c>
      <c r="O27" s="18">
        <f>'Por secao'!O27</f>
        <v/>
      </c>
    </row>
    <row r="28">
      <c r="A28" s="16">
        <f>'Por secao'!A28</f>
        <v/>
      </c>
      <c r="B28" s="17">
        <f>IFERROR(INDEX(Mesarios!$D$2:$D$112,MATCH($A28&amp;"|"&amp;B$1,Mesarios!$F$2:$F$112,0)),"VAGO")</f>
        <v/>
      </c>
      <c r="C28" s="18">
        <f>IFERROR(INDEX(Mesarios!$M$2:$M$112,MATCH($A28&amp;"|"&amp;B$1,Mesarios!$F$2:$F$112,0)),"VAGO")</f>
        <v/>
      </c>
      <c r="D28" s="17">
        <f>IFERROR(INDEX(Mesarios!$D$2:$D$112,MATCH($A28&amp;"|"&amp;D$1,Mesarios!$F$2:$F$112,0)),"VAGO")</f>
        <v/>
      </c>
      <c r="E28" s="18">
        <f>IFERROR(INDEX(Mesarios!$M$2:$M$112,MATCH($A28&amp;"|"&amp;D$1,Mesarios!$F$2:$F$112,0)),"VAGO")</f>
        <v/>
      </c>
      <c r="F28" s="17">
        <f>IFERROR(INDEX(Mesarios!$D$2:$D$112,MATCH($A28&amp;"|"&amp;F$1,Mesarios!$F$2:$F$112,0)),"VAGO")</f>
        <v/>
      </c>
      <c r="G28" s="18">
        <f>IFERROR(INDEX(Mesarios!$M$2:$M$112,MATCH($A28&amp;"|"&amp;F$1,Mesarios!$F$2:$F$112,0)),"VAGO")</f>
        <v/>
      </c>
      <c r="H28" s="17">
        <f>IFERROR(INDEX(Mesarios!$D$2:$D$112,MATCH($A28&amp;"|"&amp;H$1,Mesarios!$F$2:$F$112,0)),"VAGO")</f>
        <v/>
      </c>
      <c r="I28" s="18">
        <f>IFERROR(INDEX(Mesarios!$M$2:$M$112,MATCH($A28&amp;"|"&amp;H$1,Mesarios!$F$2:$F$112,0)),"VAGO")</f>
        <v/>
      </c>
      <c r="J28" s="18">
        <f>COUNTIF(C28:I28,"SIM")</f>
        <v/>
      </c>
      <c r="K28" s="18">
        <f>COUNTIF(C28:I28,"NAO")</f>
        <v/>
      </c>
      <c r="L28" s="18">
        <f>COUNTIF(C28:I28,"0006/2026")+COUNTIF(C28:I28,"-")</f>
        <v/>
      </c>
      <c r="M28" s="17">
        <f>IF(J28&gt;=4,"Mesa completa",IF(J28=3,"Falta 1","ATENÇÃO: só "&amp;J28&amp;" presentes"))</f>
        <v/>
      </c>
      <c r="N28" s="19">
        <f>'Por secao'!N28</f>
        <v/>
      </c>
      <c r="O28" s="18">
        <f>'Por secao'!O28</f>
        <v/>
      </c>
    </row>
    <row r="29">
      <c r="A29" s="16">
        <f>'Por secao'!A29</f>
        <v/>
      </c>
      <c r="B29" s="17">
        <f>IFERROR(INDEX(Mesarios!$D$2:$D$112,MATCH($A29&amp;"|"&amp;B$1,Mesarios!$F$2:$F$112,0)),"VAGO")</f>
        <v/>
      </c>
      <c r="C29" s="18">
        <f>IFERROR(INDEX(Mesarios!$M$2:$M$112,MATCH($A29&amp;"|"&amp;B$1,Mesarios!$F$2:$F$112,0)),"VAGO")</f>
        <v/>
      </c>
      <c r="D29" s="17">
        <f>IFERROR(INDEX(Mesarios!$D$2:$D$112,MATCH($A29&amp;"|"&amp;D$1,Mesarios!$F$2:$F$112,0)),"VAGO")</f>
        <v/>
      </c>
      <c r="E29" s="18">
        <f>IFERROR(INDEX(Mesarios!$M$2:$M$112,MATCH($A29&amp;"|"&amp;D$1,Mesarios!$F$2:$F$112,0)),"VAGO")</f>
        <v/>
      </c>
      <c r="F29" s="17">
        <f>IFERROR(INDEX(Mesarios!$D$2:$D$112,MATCH($A29&amp;"|"&amp;F$1,Mesarios!$F$2:$F$112,0)),"VAGO")</f>
        <v/>
      </c>
      <c r="G29" s="18">
        <f>IFERROR(INDEX(Mesarios!$M$2:$M$112,MATCH($A29&amp;"|"&amp;F$1,Mesarios!$F$2:$F$112,0)),"VAGO")</f>
        <v/>
      </c>
      <c r="H29" s="17">
        <f>IFERROR(INDEX(Mesarios!$D$2:$D$112,MATCH($A29&amp;"|"&amp;H$1,Mesarios!$F$2:$F$112,0)),"VAGO")</f>
        <v/>
      </c>
      <c r="I29" s="18">
        <f>IFERROR(INDEX(Mesarios!$M$2:$M$112,MATCH($A29&amp;"|"&amp;H$1,Mesarios!$F$2:$F$112,0)),"VAGO")</f>
        <v/>
      </c>
      <c r="J29" s="18">
        <f>COUNTIF(C29:I29,"SIM")</f>
        <v/>
      </c>
      <c r="K29" s="18">
        <f>COUNTIF(C29:I29,"NAO")</f>
        <v/>
      </c>
      <c r="L29" s="18">
        <f>COUNTIF(C29:I29,"0006/2026")+COUNTIF(C29:I29,"-")</f>
        <v/>
      </c>
      <c r="M29" s="17">
        <f>IF(J29&gt;=4,"Mesa completa",IF(J29=3,"Falta 1","ATENÇÃO: só "&amp;J29&amp;" presentes"))</f>
        <v/>
      </c>
      <c r="N29" s="19">
        <f>'Por secao'!N29</f>
        <v/>
      </c>
      <c r="O29" s="18">
        <f>'Por secao'!O29</f>
        <v/>
      </c>
    </row>
    <row r="30">
      <c r="A30" s="20" t="inlineStr">
        <is>
          <t>Total</t>
        </is>
      </c>
      <c r="J30" s="20">
        <f>SUM(J2:J29)</f>
        <v/>
      </c>
      <c r="K30" s="20">
        <f>SUM(K2:K29)</f>
        <v/>
      </c>
      <c r="L30" s="20">
        <f>SUM(L2:L29)</f>
        <v/>
      </c>
      <c r="M30" s="20">
        <f>COUNTIF(M2:M29,"Mesa completa")&amp;" completas · "&amp;COUNTIF(M2:M29,"Falta 1")&amp;" falta 1 · "&amp;COUNTIF(M2:M29,"ATENÇÃO*")&amp;" em atenção"</f>
        <v/>
      </c>
    </row>
    <row r="32">
      <c r="A32" s="6" t="inlineStr">
        <is>
          <t>Leitura: nomes e presença vêm da aba Mesarios (coluna Presença). SIM = presente (verde) · NAO = ausente (vermelho) · 0006/2026 (amarelo) · "-" = sem registro (cinza) · VAGO = função sem mesário designado. Editar só a aba Mesarios; esta aba recalcula sozinha.</t>
        </is>
      </c>
    </row>
  </sheetData>
  <autoFilter ref="A1:O29"/>
  <conditionalFormatting sqref="A2:A29">
    <cfRule type="expression" priority="10" dxfId="2">
      <formula>$O2="Alto"</formula>
    </cfRule>
    <cfRule type="expression" priority="11" dxfId="19">
      <formula>$O2="Médio"</formula>
    </cfRule>
    <cfRule type="expression" priority="12" dxfId="18">
      <formula>$O2="Baixo"</formula>
    </cfRule>
  </conditionalFormatting>
  <conditionalFormatting sqref="C2:C29 E2:E29 G2:G29 I2:I29">
    <cfRule type="expression" priority="2" dxfId="17">
      <formula>C2="SIM"</formula>
    </cfRule>
    <cfRule type="expression" priority="3" dxfId="4">
      <formula>C2="NAO"</formula>
    </cfRule>
    <cfRule type="expression" priority="4" dxfId="3">
      <formula>C2="0006/2026"</formula>
    </cfRule>
    <cfRule type="expression" priority="5" dxfId="14">
      <formula>C2="-"</formula>
    </cfRule>
    <cfRule type="expression" priority="6" dxfId="13">
      <formula>C2="VAGO"</formula>
    </cfRule>
  </conditionalFormatting>
  <conditionalFormatting sqref="J2:J29">
    <cfRule type="expression" priority="7" dxfId="4">
      <formula>J2&lt;3</formula>
    </cfRule>
  </conditionalFormatting>
  <conditionalFormatting sqref="M2:M29">
    <cfRule type="expression" priority="8" dxfId="11">
      <formula>LEFT(M2,7)="ATENÇÃO"</formula>
    </cfRule>
    <cfRule type="expression" priority="9" dxfId="3">
      <formula>M2="Falta 1"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8"/>
  <sheetViews>
    <sheetView tabSelected="0" zoomScaleNormal="100" workbookViewId="0">
      <selection activeCell="A1" sqref="A1"/>
    </sheetView>
  </sheetViews>
  <sheetFormatPr baseColWidth="8" defaultColWidth="8.7109375" defaultRowHeight="15"/>
  <cols>
    <col width="50" customWidth="1" min="1" max="1"/>
    <col width="70" customWidth="1" min="2" max="2"/>
  </cols>
  <sheetData>
    <row r="1" ht="15.75" customHeight="1">
      <c r="A1" s="1" t="inlineStr">
        <is>
          <t>Mesários — 1º turno 04/10/2026 · RDS Hall 2 · presença consolidada (planilha × lista Elo de 30/09 × boletins de identificação de 04/10)</t>
        </is>
      </c>
    </row>
    <row r="3">
      <c r="A3" s="2" t="inlineStr">
        <is>
          <t>Total de mesários</t>
        </is>
      </c>
      <c r="B3" s="3">
        <f>COUNTA(Mesarios!D2:D112)</f>
        <v/>
      </c>
    </row>
    <row r="4">
      <c r="A4" s="2" t="inlineStr">
        <is>
          <t>Presentes (SIM)</t>
        </is>
      </c>
      <c r="B4" s="3">
        <f>COUNTIF(Mesarios!$M$2:$M$112,"SIM")</f>
        <v/>
      </c>
    </row>
    <row r="5">
      <c r="A5" s="2" t="inlineStr">
        <is>
          <t>Ausentes (NAO)</t>
        </is>
      </c>
      <c r="B5" s="3">
        <f>COUNTIF(Mesarios!$M$2:$M$112,"NAO")</f>
        <v/>
      </c>
    </row>
    <row r="6">
      <c r="A6" s="2" t="inlineStr">
        <is>
          <t>Planilha SIM, mas ausente nos boletins</t>
        </is>
      </c>
      <c r="B6" s="3">
        <f>COUNTIF(Mesarios!$N$2:$N$112,"Planilha SIM*")</f>
        <v/>
      </c>
    </row>
    <row r="7">
      <c r="A7" s="2" t="inlineStr">
        <is>
          <t>Planilha NAO, mas presente nos boletins</t>
        </is>
      </c>
      <c r="B7" s="3">
        <f>COUNTIF(Mesarios!$N$2:$N$112,"Planilha NAO*")</f>
        <v/>
      </c>
    </row>
    <row r="8">
      <c r="A8" s="2" t="inlineStr">
        <is>
          <t>Planilha sem dado ("0006/2026" ou "-"), preenchido pelo boletim</t>
        </is>
      </c>
      <c r="B8" s="3">
        <f>COUNTIF(Mesarios!$N$2:$N$112,"Planilha sem dado*")</f>
        <v/>
      </c>
    </row>
    <row r="9">
      <c r="A9" s="2" t="inlineStr">
        <is>
          <t>Conferência: presentes + ausentes = total</t>
        </is>
      </c>
      <c r="B9" s="4">
        <f>IF(B4+B5=B3,"OK","DIVERGE")</f>
        <v/>
      </c>
    </row>
    <row r="10">
      <c r="A10" s="2" t="inlineStr">
        <is>
          <t>Seções (mesas)</t>
        </is>
      </c>
      <c r="B10" s="3">
        <f>COUNTA('Por secao'!A2:A29)</f>
        <v/>
      </c>
    </row>
    <row r="11">
      <c r="A11" s="2" t="inlineStr">
        <is>
          <t>Mesas com os 4 presentes</t>
        </is>
      </c>
      <c r="B11" s="3">
        <f>COUNTIF('Por secao'!G2:G29,4)</f>
        <v/>
      </c>
    </row>
    <row r="12">
      <c r="A12" t="inlineStr">
        <is>
          <t>Mesas com só 3 presentes</t>
        </is>
      </c>
      <c r="B12" s="5">
        <f>COUNTIF('Por secao'!G2:G29,3)</f>
        <v/>
      </c>
    </row>
    <row r="13">
      <c r="A13" t="inlineStr">
        <is>
          <t>Mesas com 2 ou menos presentes</t>
        </is>
      </c>
      <c r="B13" s="5">
        <f>COUNTIF('Por secao'!G2:G29,"&lt;=2")</f>
        <v/>
      </c>
    </row>
    <row r="14">
      <c r="A14" t="inlineStr">
        <is>
          <t>Mesas com só 3 designados</t>
        </is>
      </c>
      <c r="B14" s="5">
        <f>COUNTIF('Por secao'!B2:B29,3)</f>
        <v/>
      </c>
    </row>
    <row r="15">
      <c r="A15" t="inlineStr">
        <is>
          <t>Mesas sem Presidente designado</t>
        </is>
      </c>
      <c r="B15" s="5">
        <f>'Por secao'!C30</f>
        <v/>
      </c>
    </row>
    <row r="16" ht="90" customHeight="1">
      <c r="A16" s="6" t="inlineStr">
        <is>
          <t>Nota</t>
        </is>
      </c>
      <c r="B16" s="5" t="inlineStr">
        <is>
          <t>A coluna "Presença" original (E) foi mantida intacta. Em 16 linhas ela trazia "0006/2026" ou "-", que são valores da coluna Edital do relatório Elo, não presença; os boletins de identificação preenchem esses casos. A coluna M "Presença consolidada" (SIM = título registrado na abertura ou no fechamento de algum boletim) passou a alimentar todas as contagens deste arquivo. Onde a planilha e o boletim divergem, ver coluna N e a aba "Divergências". Totais do PDF Elo de 30/09: Total 111 · Confirmados 98 · Sem resposta 12 · Pedido de dispensa 1.</t>
        </is>
      </c>
    </row>
    <row r="17">
      <c r="A17" t="inlineStr">
        <is>
          <t>Mesários fora da lista que assinaram boletim</t>
        </is>
      </c>
      <c r="B17" s="5">
        <f>COUNTA('Fora da lista'!A2:A10)</f>
        <v/>
      </c>
    </row>
    <row r="18" ht="90" customHeight="1">
      <c r="A18" s="6" t="inlineStr">
        <is>
          <t>Observação</t>
        </is>
      </c>
      <c r="B18" s="5" t="inlineStr">
        <is>
          <t>A contagem por seção (aba "Por secao") é por pessoa designada. Quem atuou em outra urna (ex.: Ludmila, Liliane, Cíntia, Ana Paula, Brenda) está descrito na aba "Boletins".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2"/>
  <sheetViews>
    <sheetView tabSelected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7109375" defaultRowHeight="15"/>
  <cols>
    <col width="9" customWidth="1" min="1" max="1"/>
    <col width="13" customWidth="1" min="2" max="2"/>
    <col width="14" customWidth="1" min="3" max="4"/>
    <col width="18" customWidth="1" min="5" max="5"/>
    <col width="12" customWidth="1" min="6" max="7"/>
    <col width="10" customWidth="1" min="8" max="8"/>
    <col width="80" customWidth="1" min="9" max="9"/>
  </cols>
  <sheetData>
    <row r="1" ht="48" customHeight="1">
      <c r="A1" s="8" t="inlineStr">
        <is>
          <t>Seção</t>
        </is>
      </c>
      <c r="B1" s="8" t="inlineStr">
        <is>
          <t>Designados (lista Elo)</t>
        </is>
      </c>
      <c r="C1" s="8" t="inlineStr">
        <is>
          <t>Registrados na abertura</t>
        </is>
      </c>
      <c r="D1" s="8" t="inlineStr">
        <is>
          <t>Registrados no fechamento</t>
        </is>
      </c>
      <c r="E1" s="8" t="inlineStr">
        <is>
          <t>Atuaram na urna (abertura ∪ fechamento)</t>
        </is>
      </c>
      <c r="F1" s="8" t="inlineStr">
        <is>
          <t>Designados ausentes</t>
        </is>
      </c>
      <c r="G1" s="8" t="inlineStr">
        <is>
          <t>De outra seção</t>
        </is>
      </c>
      <c r="H1" s="8" t="inlineStr">
        <is>
          <t>Fora da lista</t>
        </is>
      </c>
      <c r="I1" s="8" t="inlineStr">
        <is>
          <t>Observação</t>
        </is>
      </c>
    </row>
    <row r="2">
      <c r="A2" s="2" t="n">
        <v>511</v>
      </c>
      <c r="B2" s="2" t="n">
        <v>4</v>
      </c>
      <c r="C2" s="2" t="n">
        <v>4</v>
      </c>
      <c r="D2" s="2" t="n">
        <v>3</v>
      </c>
      <c r="E2" s="2" t="n">
        <v>4</v>
      </c>
      <c r="F2" s="2" t="n">
        <v>0</v>
      </c>
      <c r="G2" s="2" t="n">
        <v>0</v>
      </c>
      <c r="H2" s="2" t="n">
        <v>0</v>
      </c>
      <c r="I2" s="36" t="inlineStr">
        <is>
          <t>4 de 4 na abertura; Ludmila fechou em 3442.</t>
        </is>
      </c>
    </row>
    <row r="3" ht="28.5" customHeight="1">
      <c r="A3" s="2" t="n">
        <v>512</v>
      </c>
      <c r="B3" s="2" t="n">
        <v>4</v>
      </c>
      <c r="C3" s="2" t="n">
        <v>3</v>
      </c>
      <c r="D3" s="2" t="n">
        <v>3</v>
      </c>
      <c r="E3" s="2" t="n">
        <v>3</v>
      </c>
      <c r="F3" s="2" t="n">
        <v>2</v>
      </c>
      <c r="G3" s="2" t="n">
        <v>1</v>
      </c>
      <c r="H3" s="2" t="n">
        <v>0</v>
      </c>
      <c r="I3" s="36" t="inlineStr">
        <is>
          <t>Ana Claudia ausente. Thaisa (planilha SIM) não aparece. Cíntia (1160) registrada também aqui.</t>
        </is>
      </c>
    </row>
    <row r="4">
      <c r="A4" s="2" t="n">
        <v>513</v>
      </c>
      <c r="B4" s="2" t="n">
        <v>4</v>
      </c>
      <c r="C4" s="2" t="n">
        <v>2</v>
      </c>
      <c r="D4" s="2" t="n">
        <v>2</v>
      </c>
      <c r="E4" s="2" t="n">
        <v>2</v>
      </c>
      <c r="F4" s="2" t="n">
        <v>2</v>
      </c>
      <c r="G4" s="2" t="n">
        <v>0</v>
      </c>
      <c r="H4" s="2" t="n">
        <v>0</v>
      </c>
      <c r="I4" s="36" t="inlineStr">
        <is>
          <t>Só 2 registrados. Bianca (Presidente) não aparece; planilha marcava SIM.</t>
        </is>
      </c>
    </row>
    <row r="5">
      <c r="A5" s="2" t="n">
        <v>517</v>
      </c>
      <c r="B5" s="2" t="n">
        <v>4</v>
      </c>
      <c r="C5" s="2" t="n">
        <v>4</v>
      </c>
      <c r="D5" s="2" t="n">
        <v>3</v>
      </c>
      <c r="E5" s="2" t="n">
        <v>4</v>
      </c>
      <c r="F5" s="2" t="n">
        <v>0</v>
      </c>
      <c r="G5" s="2" t="n">
        <v>0</v>
      </c>
      <c r="H5" s="2" t="n">
        <v>0</v>
      </c>
      <c r="I5" s="36" t="inlineStr">
        <is>
          <t>Daiane (Presidente) só na abertura.</t>
        </is>
      </c>
    </row>
    <row r="6">
      <c r="A6" s="2" t="n">
        <v>1160</v>
      </c>
      <c r="B6" s="2" t="n">
        <v>4</v>
      </c>
      <c r="C6" s="2" t="n">
        <v>4</v>
      </c>
      <c r="D6" s="2" t="n">
        <v>4</v>
      </c>
      <c r="E6" s="2" t="n">
        <v>4</v>
      </c>
      <c r="F6" s="2" t="n">
        <v>0</v>
      </c>
      <c r="G6" s="2" t="n">
        <v>0</v>
      </c>
      <c r="H6" s="2" t="n">
        <v>0</v>
      </c>
      <c r="I6" s="36" t="inlineStr">
        <is>
          <t>4 de 4. Cíntia também registrada em 512.</t>
        </is>
      </c>
    </row>
    <row r="7">
      <c r="A7" s="2" t="n">
        <v>1352</v>
      </c>
      <c r="B7" s="2" t="n">
        <v>4</v>
      </c>
      <c r="C7" s="2" t="n">
        <v>4</v>
      </c>
      <c r="D7" s="2" t="n">
        <v>3</v>
      </c>
      <c r="E7" s="2" t="n">
        <v>4</v>
      </c>
      <c r="F7" s="2" t="n">
        <v>0</v>
      </c>
      <c r="G7" s="2" t="n">
        <v>0</v>
      </c>
      <c r="H7" s="2" t="n">
        <v>0</v>
      </c>
      <c r="I7" s="36" t="inlineStr">
        <is>
          <t>Ana Paula fechou em 3179.</t>
        </is>
      </c>
    </row>
    <row r="8">
      <c r="A8" s="2" t="n">
        <v>3054</v>
      </c>
      <c r="B8" s="2" t="n">
        <v>4</v>
      </c>
      <c r="C8" s="2" t="n">
        <v>3</v>
      </c>
      <c r="D8" s="2" t="n">
        <v>4</v>
      </c>
      <c r="E8" s="2" t="n">
        <v>4</v>
      </c>
      <c r="F8" s="2" t="n">
        <v>1</v>
      </c>
      <c r="G8" s="2" t="n">
        <v>1</v>
      </c>
      <c r="H8" s="2" t="n">
        <v>0</v>
      </c>
      <c r="I8" s="36" t="inlineStr">
        <is>
          <t>Edineia ausente. Brenda (3322) assinou o fechamento aqui.</t>
        </is>
      </c>
    </row>
    <row r="9">
      <c r="A9" s="2" t="n">
        <v>3078</v>
      </c>
      <c r="B9" s="2" t="n">
        <v>4</v>
      </c>
      <c r="C9" s="2" t="n">
        <v>4</v>
      </c>
      <c r="D9" s="2" t="n">
        <v>4</v>
      </c>
      <c r="E9" s="2" t="n">
        <v>4</v>
      </c>
      <c r="F9" s="2" t="n">
        <v>0</v>
      </c>
      <c r="G9" s="2" t="n">
        <v>0</v>
      </c>
      <c r="H9" s="2" t="n">
        <v>0</v>
      </c>
      <c r="I9" s="36" t="inlineStr">
        <is>
          <t>4 de 4.</t>
        </is>
      </c>
    </row>
    <row r="10">
      <c r="A10" s="2" t="n">
        <v>3108</v>
      </c>
      <c r="B10" s="2" t="n">
        <v>4</v>
      </c>
      <c r="C10" s="2" t="n">
        <v>3</v>
      </c>
      <c r="D10" s="2" t="n">
        <v>2</v>
      </c>
      <c r="E10" s="2" t="n">
        <v>3</v>
      </c>
      <c r="F10" s="2" t="n">
        <v>1</v>
      </c>
      <c r="G10" s="2" t="n">
        <v>0</v>
      </c>
      <c r="H10" s="2" t="n">
        <v>0</v>
      </c>
      <c r="I10" s="36" t="inlineStr">
        <is>
          <t>Fernanda (Presidente) só na abertura.</t>
        </is>
      </c>
    </row>
    <row r="11">
      <c r="A11" s="2" t="n">
        <v>3142</v>
      </c>
      <c r="B11" s="2" t="n">
        <v>4</v>
      </c>
      <c r="C11" s="2" t="n">
        <v>3</v>
      </c>
      <c r="D11" s="2" t="n">
        <v>3</v>
      </c>
      <c r="E11" s="2" t="n">
        <v>3</v>
      </c>
      <c r="F11" s="2" t="n">
        <v>1</v>
      </c>
      <c r="G11" s="2" t="n">
        <v>0</v>
      </c>
      <c r="H11" s="2" t="n">
        <v>0</v>
      </c>
      <c r="I11" s="36" t="inlineStr">
        <is>
          <t>Lincoln (1º Secretário, planilha SIM) não aparece.</t>
        </is>
      </c>
    </row>
    <row r="12">
      <c r="A12" s="2" t="n">
        <v>3161</v>
      </c>
      <c r="B12" s="2" t="n">
        <v>4</v>
      </c>
      <c r="C12" s="2" t="n">
        <v>3</v>
      </c>
      <c r="D12" s="2" t="n">
        <v>2</v>
      </c>
      <c r="E12" s="2" t="n">
        <v>3</v>
      </c>
      <c r="F12" s="2" t="n">
        <v>1</v>
      </c>
      <c r="G12" s="2" t="n">
        <v>0</v>
      </c>
      <c r="H12" s="2" t="n">
        <v>0</v>
      </c>
      <c r="I12" s="36" t="inlineStr">
        <is>
          <t>Presidente (Marcela) ausente. Assinatura de Nastassja rasurada.</t>
        </is>
      </c>
    </row>
    <row r="13" ht="28.5" customHeight="1">
      <c r="A13" s="2" t="n">
        <v>3179</v>
      </c>
      <c r="B13" s="2" t="n">
        <v>4</v>
      </c>
      <c r="C13" s="2" t="n">
        <v>2</v>
      </c>
      <c r="D13" s="2" t="n">
        <v>3</v>
      </c>
      <c r="E13" s="2" t="n">
        <v>3</v>
      </c>
      <c r="F13" s="2" t="n">
        <v>2</v>
      </c>
      <c r="G13" s="2" t="n">
        <v>1</v>
      </c>
      <c r="H13" s="2" t="n">
        <v>0</v>
      </c>
      <c r="I13" s="36" t="inlineStr">
        <is>
          <t>Ana Paula (1352) assinou o fechamento aqui. Anderson ausente; Jussara pediu dispensa.</t>
        </is>
      </c>
    </row>
    <row r="14" ht="28.5" customHeight="1">
      <c r="A14" s="2" t="n">
        <v>3216</v>
      </c>
      <c r="B14" s="2" t="n">
        <v>4</v>
      </c>
      <c r="C14" s="2" t="n">
        <v>4</v>
      </c>
      <c r="D14" s="2" t="n">
        <v>3</v>
      </c>
      <c r="E14" s="2" t="n">
        <v>4</v>
      </c>
      <c r="F14" s="2" t="n">
        <v>0</v>
      </c>
      <c r="G14" s="2" t="n">
        <v>0</v>
      </c>
      <c r="H14" s="2" t="n">
        <v>0</v>
      </c>
      <c r="I14" s="36" t="inlineStr">
        <is>
          <t>Jaqueline: nome sem assinatura no fechamento. Liliane também registrada em 3322.</t>
        </is>
      </c>
    </row>
    <row r="15">
      <c r="A15" s="2" t="n">
        <v>3229</v>
      </c>
      <c r="B15" s="2" t="n">
        <v>4</v>
      </c>
      <c r="C15" s="2" t="n">
        <v>4</v>
      </c>
      <c r="D15" s="2" t="n">
        <v>4</v>
      </c>
      <c r="E15" s="2" t="n">
        <v>4</v>
      </c>
      <c r="F15" s="2" t="n">
        <v>0</v>
      </c>
      <c r="G15" s="2" t="n">
        <v>0</v>
      </c>
      <c r="H15" s="2" t="n">
        <v>0</v>
      </c>
      <c r="I15" s="36" t="inlineStr">
        <is>
          <t>Ediones (Presidente): nome manuscrito sobre a linha de separação.</t>
        </is>
      </c>
    </row>
    <row r="16" ht="28.5" customHeight="1">
      <c r="A16" s="2" t="n">
        <v>3245</v>
      </c>
      <c r="B16" s="2" t="n">
        <v>4</v>
      </c>
      <c r="C16" s="2" t="n">
        <v>3</v>
      </c>
      <c r="D16" s="2" t="n">
        <v>2</v>
      </c>
      <c r="E16" s="2" t="n">
        <v>3</v>
      </c>
      <c r="F16" s="2" t="n">
        <v>1</v>
      </c>
      <c r="G16" s="2" t="n">
        <v>0</v>
      </c>
      <c r="H16" s="2" t="n">
        <v>0</v>
      </c>
      <c r="I16" s="36" t="inlineStr">
        <is>
          <t>Fechamento sem nomes nem assinaturas; presidente só na abertura. Vinicius (1º Secretário) não aparece.</t>
        </is>
      </c>
    </row>
    <row r="17">
      <c r="A17" s="2" t="n">
        <v>3302</v>
      </c>
      <c r="B17" s="2" t="n">
        <v>4</v>
      </c>
      <c r="C17" s="2" t="n">
        <v>4</v>
      </c>
      <c r="D17" s="2" t="n">
        <v>4</v>
      </c>
      <c r="E17" s="2" t="n">
        <v>4</v>
      </c>
      <c r="F17" s="2" t="n">
        <v>0</v>
      </c>
      <c r="G17" s="2" t="n">
        <v>0</v>
      </c>
      <c r="H17" s="2" t="n">
        <v>0</v>
      </c>
      <c r="I17" s="36" t="inlineStr">
        <is>
          <t>4 de 4.</t>
        </is>
      </c>
    </row>
    <row r="18">
      <c r="A18" s="2" t="n">
        <v>3305</v>
      </c>
      <c r="B18" s="2" t="n">
        <v>4</v>
      </c>
      <c r="C18" s="2" t="n">
        <v>3</v>
      </c>
      <c r="D18" s="2" t="n">
        <v>3</v>
      </c>
      <c r="E18" s="2" t="n">
        <v>3</v>
      </c>
      <c r="F18" s="2" t="n">
        <v>1</v>
      </c>
      <c r="G18" s="2" t="n">
        <v>0</v>
      </c>
      <c r="H18" s="2" t="n">
        <v>0</v>
      </c>
      <c r="I18" s="36" t="inlineStr">
        <is>
          <t>Presidente (Sara Rodrigues Gomes) ausente.</t>
        </is>
      </c>
    </row>
    <row r="19">
      <c r="A19" s="2" t="n">
        <v>3306</v>
      </c>
      <c r="B19" s="2" t="n">
        <v>4</v>
      </c>
      <c r="C19" s="2" t="n">
        <v>4</v>
      </c>
      <c r="D19" s="2" t="n">
        <v>4</v>
      </c>
      <c r="E19" s="2" t="n">
        <v>4</v>
      </c>
      <c r="F19" s="2" t="n">
        <v>0</v>
      </c>
      <c r="G19" s="2" t="n">
        <v>0</v>
      </c>
      <c r="H19" s="2" t="n">
        <v>0</v>
      </c>
      <c r="I19" s="36" t="inlineStr">
        <is>
          <t>4 de 4.</t>
        </is>
      </c>
    </row>
    <row r="20">
      <c r="A20" s="2" t="n">
        <v>3308</v>
      </c>
      <c r="B20" s="2" t="n">
        <v>4</v>
      </c>
      <c r="C20" s="2" t="n">
        <v>3</v>
      </c>
      <c r="D20" s="2" t="n">
        <v>3</v>
      </c>
      <c r="E20" s="2" t="n">
        <v>3</v>
      </c>
      <c r="F20" s="2" t="n">
        <v>1</v>
      </c>
      <c r="G20" s="2" t="n">
        <v>0</v>
      </c>
      <c r="H20" s="2" t="n">
        <v>0</v>
      </c>
      <c r="I20" s="36" t="inlineStr">
        <is>
          <t>Kaique (Presidente, planilha SIM) não aparece.</t>
        </is>
      </c>
    </row>
    <row r="21">
      <c r="A21" s="2" t="n">
        <v>3309</v>
      </c>
      <c r="B21" s="2" t="n">
        <v>4</v>
      </c>
      <c r="C21" s="2" t="n">
        <v>4</v>
      </c>
      <c r="D21" s="2" t="n">
        <v>4</v>
      </c>
      <c r="E21" s="2" t="n">
        <v>4</v>
      </c>
      <c r="F21" s="2" t="n">
        <v>0</v>
      </c>
      <c r="G21" s="2" t="n">
        <v>0</v>
      </c>
      <c r="H21" s="2" t="n">
        <v>0</v>
      </c>
      <c r="I21" s="36" t="inlineStr">
        <is>
          <t>Sara e Paula: nome sem assinatura no fechamento.</t>
        </is>
      </c>
    </row>
    <row r="22">
      <c r="A22" s="2" t="n">
        <v>3311</v>
      </c>
      <c r="B22" s="2" t="n">
        <v>4</v>
      </c>
      <c r="C22" s="2" t="n">
        <v>4</v>
      </c>
      <c r="D22" s="2" t="n">
        <v>4</v>
      </c>
      <c r="E22" s="2" t="n">
        <v>4</v>
      </c>
      <c r="F22" s="2" t="n">
        <v>0</v>
      </c>
      <c r="G22" s="2" t="n">
        <v>0</v>
      </c>
      <c r="H22" s="2" t="n">
        <v>0</v>
      </c>
      <c r="I22" s="36" t="inlineStr">
        <is>
          <t>4 de 4.</t>
        </is>
      </c>
    </row>
    <row r="23">
      <c r="A23" s="2" t="n">
        <v>3313</v>
      </c>
      <c r="B23" s="2" t="n">
        <v>4</v>
      </c>
      <c r="C23" s="2" t="n">
        <v>4</v>
      </c>
      <c r="D23" s="2" t="n">
        <v>3</v>
      </c>
      <c r="E23" s="2" t="n">
        <v>4</v>
      </c>
      <c r="F23" s="2" t="n">
        <v>0</v>
      </c>
      <c r="G23" s="2" t="n">
        <v>0</v>
      </c>
      <c r="H23" s="2" t="n">
        <v>0</v>
      </c>
      <c r="I23" s="36" t="inlineStr">
        <is>
          <t>Vanessa (Presidente) só na abertura.</t>
        </is>
      </c>
    </row>
    <row r="24" ht="28.5" customHeight="1">
      <c r="A24" s="2" t="n">
        <v>3315</v>
      </c>
      <c r="B24" s="2" t="n">
        <v>4</v>
      </c>
      <c r="C24" s="2" t="n">
        <v>2</v>
      </c>
      <c r="D24" s="2" t="n">
        <v>2</v>
      </c>
      <c r="E24" s="2" t="n">
        <v>2</v>
      </c>
      <c r="F24" s="2" t="n">
        <v>2</v>
      </c>
      <c r="G24" s="2" t="n">
        <v>0</v>
      </c>
      <c r="H24" s="2" t="n">
        <v>0</v>
      </c>
      <c r="I24" s="36" t="inlineStr">
        <is>
          <t>Só 2 registrados (Jair e Alane, designados, não aparecem). Planilha marcava os 4 como SIM.</t>
        </is>
      </c>
    </row>
    <row r="25" ht="28.5" customHeight="1">
      <c r="A25" s="2" t="n">
        <v>3322</v>
      </c>
      <c r="B25" s="2" t="n">
        <v>4</v>
      </c>
      <c r="C25" s="2" t="n">
        <v>4</v>
      </c>
      <c r="D25" s="2" t="n">
        <v>3</v>
      </c>
      <c r="E25" s="2" t="n">
        <v>4</v>
      </c>
      <c r="F25" s="2" t="n">
        <v>2</v>
      </c>
      <c r="G25" s="2" t="n">
        <v>1</v>
      </c>
      <c r="H25" s="2" t="n">
        <v>1</v>
      </c>
      <c r="I25" s="36" t="inlineStr">
        <is>
          <t>Rudinei e Brenda ausentes. Thalison (não listado) assinou; Liliane (3216) registrada aqui.</t>
        </is>
      </c>
    </row>
    <row r="26">
      <c r="A26" s="2" t="n">
        <v>3442</v>
      </c>
      <c r="B26" s="2" t="n">
        <v>4</v>
      </c>
      <c r="C26" s="2" t="n">
        <v>3</v>
      </c>
      <c r="D26" s="2" t="n">
        <v>3</v>
      </c>
      <c r="E26" s="2" t="n">
        <v>3</v>
      </c>
      <c r="F26" s="2" t="n">
        <v>2</v>
      </c>
      <c r="G26" s="2" t="n">
        <v>1</v>
      </c>
      <c r="H26" s="2" t="n">
        <v>0</v>
      </c>
      <c r="I26" s="36" t="inlineStr">
        <is>
          <t>Gustavo e Tifany ausentes. Ludmila (511) registrada aqui.</t>
        </is>
      </c>
    </row>
    <row r="27">
      <c r="A27" s="2" t="n">
        <v>3688</v>
      </c>
      <c r="B27" s="2" t="n">
        <v>4</v>
      </c>
      <c r="C27" s="2" t="n">
        <v>3</v>
      </c>
      <c r="D27" s="2" t="n">
        <v>3</v>
      </c>
      <c r="E27" s="2" t="n">
        <v>3</v>
      </c>
      <c r="F27" s="2" t="n">
        <v>1</v>
      </c>
      <c r="G27" s="2" t="n">
        <v>0</v>
      </c>
      <c r="H27" s="2" t="n">
        <v>0</v>
      </c>
      <c r="I27" s="36" t="inlineStr">
        <is>
          <t>Laura ausente. Lauro presente (planilha dizia NAO).</t>
        </is>
      </c>
    </row>
    <row r="28" ht="28.5" customHeight="1">
      <c r="A28" s="2" t="n">
        <v>3832</v>
      </c>
      <c r="B28" s="2" t="n">
        <v>4</v>
      </c>
      <c r="C28" s="2" t="n">
        <v>4</v>
      </c>
      <c r="D28" s="2" t="n">
        <v>4</v>
      </c>
      <c r="E28" s="2" t="n">
        <v>4</v>
      </c>
      <c r="F28" s="2" t="n">
        <v>0</v>
      </c>
      <c r="G28" s="2" t="n">
        <v>0</v>
      </c>
      <c r="H28" s="2" t="n">
        <v>0</v>
      </c>
      <c r="I28" s="36" t="inlineStr">
        <is>
          <t>Nomes manuscritos no fechamento não correspondem às linhas dos títulos; todos os 4 registrados na abertura.</t>
        </is>
      </c>
    </row>
    <row r="29">
      <c r="A29" s="2" t="n">
        <v>3862</v>
      </c>
      <c r="B29" s="2" t="n">
        <v>3</v>
      </c>
      <c r="C29" s="2" t="n">
        <v>3</v>
      </c>
      <c r="D29" s="2" t="n">
        <v>3</v>
      </c>
      <c r="E29" s="2" t="n">
        <v>3</v>
      </c>
      <c r="F29" s="2" t="n">
        <v>0</v>
      </c>
      <c r="G29" s="2" t="n">
        <v>0</v>
      </c>
      <c r="H29" s="2" t="n">
        <v>0</v>
      </c>
      <c r="I29" s="36" t="inlineStr">
        <is>
          <t>Urna só com 3 designados (sem 2º Mesário); 3 de 3.</t>
        </is>
      </c>
    </row>
    <row r="30">
      <c r="A30" s="37" t="inlineStr">
        <is>
          <t>Total</t>
        </is>
      </c>
      <c r="B30" s="37">
        <f>SUM(B2:B29)</f>
        <v/>
      </c>
      <c r="C30" s="37">
        <f>SUM(C2:C29)</f>
        <v/>
      </c>
      <c r="D30" s="37">
        <f>SUM(D2:D29)</f>
        <v/>
      </c>
      <c r="E30" s="37">
        <f>SUM(E2:E29)</f>
        <v/>
      </c>
      <c r="F30" s="37">
        <f>SUM(F2:F29)</f>
        <v/>
      </c>
      <c r="G30" s="37">
        <f>SUM(G2:G29)</f>
        <v/>
      </c>
      <c r="H30" s="37">
        <f>SUM(H2:H29)</f>
        <v/>
      </c>
    </row>
    <row r="32">
      <c r="A32" s="31" t="inlineStr">
        <is>
          <t>Fonte: fotos dos boletins de identificação de mesários (urna, 04/10/2026), lidas por OCR dos títulos impressos e conferidas visualmente; casadas com o título de eleitor da lista Elo/Convoca+ de 30/09. "Registrado" = título impresso na abertura/fechamento. Assinatura foi conferida à vista.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9" customWidth="1" min="1" max="1"/>
    <col width="15" customWidth="1" min="2" max="2"/>
    <col width="42" customWidth="1" min="3" max="3"/>
    <col width="13" customWidth="1" min="4" max="4"/>
    <col width="12" customWidth="1" min="5" max="5"/>
    <col width="56" customWidth="1" min="6" max="6"/>
    <col width="60" customWidth="1" min="7" max="7"/>
  </cols>
  <sheetData>
    <row r="1">
      <c r="A1" s="7" t="inlineStr">
        <is>
          <t>Seção</t>
        </is>
      </c>
      <c r="B1" s="7" t="inlineStr">
        <is>
          <t>Função</t>
        </is>
      </c>
      <c r="C1" s="7" t="inlineStr">
        <is>
          <t>Nome</t>
        </is>
      </c>
      <c r="D1" s="7" t="inlineStr">
        <is>
          <t>Planilha (E)</t>
        </is>
      </c>
      <c r="E1" s="7" t="inlineStr">
        <is>
          <t>Boletim (M)</t>
        </is>
      </c>
      <c r="F1" s="7" t="inlineStr">
        <is>
          <t>Tipo</t>
        </is>
      </c>
      <c r="G1" s="7" t="inlineStr">
        <is>
          <t>Observação</t>
        </is>
      </c>
    </row>
    <row r="2">
      <c r="A2" s="2" t="n">
        <v>512</v>
      </c>
      <c r="B2" s="2" t="inlineStr">
        <is>
          <t>1º Secretário</t>
        </is>
      </c>
      <c r="C2" s="2" t="inlineStr">
        <is>
          <t>THAISA BERNARDES BUENO FELIX</t>
        </is>
      </c>
      <c r="D2" s="2" t="inlineStr">
        <is>
          <t>SIM</t>
        </is>
      </c>
      <c r="E2" s="2" t="inlineStr">
        <is>
          <t>NAO</t>
        </is>
      </c>
      <c r="F2" s="2" t="inlineStr">
        <is>
          <t>Planilha SIM, mas ausente nos boletins</t>
        </is>
      </c>
      <c r="G2" s="2" t="inlineStr">
        <is>
          <t>Elo: Confirmado em 30/09, mas não consta em nenhum boletim</t>
        </is>
      </c>
    </row>
    <row r="3">
      <c r="A3" s="2" t="n">
        <v>513</v>
      </c>
      <c r="B3" s="2" t="inlineStr">
        <is>
          <t>Presidente</t>
        </is>
      </c>
      <c r="C3" s="2" t="inlineStr">
        <is>
          <t>BIANCA ARAGONE RODRIGUES GOULART</t>
        </is>
      </c>
      <c r="D3" s="2" t="inlineStr">
        <is>
          <t>SIM</t>
        </is>
      </c>
      <c r="E3" s="2" t="inlineStr">
        <is>
          <t>NAO</t>
        </is>
      </c>
      <c r="F3" s="2" t="inlineStr">
        <is>
          <t>Planilha SIM, mas ausente nos boletins</t>
        </is>
      </c>
      <c r="G3" s="2" t="n"/>
    </row>
    <row r="4">
      <c r="A4" s="2" t="n">
        <v>3108</v>
      </c>
      <c r="B4" s="2" t="inlineStr">
        <is>
          <t>1º Mesário</t>
        </is>
      </c>
      <c r="C4" s="2" t="inlineStr">
        <is>
          <t>DANIEL DOS SANTOS JORGE</t>
        </is>
      </c>
      <c r="D4" s="2" t="inlineStr">
        <is>
          <t>SIM</t>
        </is>
      </c>
      <c r="E4" s="2" t="inlineStr">
        <is>
          <t>NAO</t>
        </is>
      </c>
      <c r="F4" s="2" t="inlineStr">
        <is>
          <t>Planilha SIM, mas ausente nos boletins</t>
        </is>
      </c>
      <c r="G4" s="2" t="inlineStr">
        <is>
          <t>Elo: Confirmado em 30/09, mas não consta em nenhum boletim</t>
        </is>
      </c>
    </row>
    <row r="5">
      <c r="A5" s="2" t="n">
        <v>3142</v>
      </c>
      <c r="B5" s="2" t="inlineStr">
        <is>
          <t>1º Secretário</t>
        </is>
      </c>
      <c r="C5" s="2" t="inlineStr">
        <is>
          <t>LINCOLN CUBAS GUEDES</t>
        </is>
      </c>
      <c r="D5" s="2" t="inlineStr">
        <is>
          <t>SIM</t>
        </is>
      </c>
      <c r="E5" s="2" t="inlineStr">
        <is>
          <t>NAO</t>
        </is>
      </c>
      <c r="F5" s="2" t="inlineStr">
        <is>
          <t>Planilha SIM, mas ausente nos boletins</t>
        </is>
      </c>
      <c r="G5" s="2" t="inlineStr">
        <is>
          <t>Elo: Confirmado em 30/09, mas não consta em nenhum boletim</t>
        </is>
      </c>
    </row>
    <row r="6">
      <c r="A6" s="2" t="n">
        <v>3308</v>
      </c>
      <c r="B6" s="2" t="inlineStr">
        <is>
          <t>Presidente</t>
        </is>
      </c>
      <c r="C6" s="2" t="inlineStr">
        <is>
          <t>KAIQUE AQUINO OLIVEIRA</t>
        </is>
      </c>
      <c r="D6" s="2" t="inlineStr">
        <is>
          <t>SIM</t>
        </is>
      </c>
      <c r="E6" s="2" t="inlineStr">
        <is>
          <t>NAO</t>
        </is>
      </c>
      <c r="F6" s="2" t="inlineStr">
        <is>
          <t>Planilha SIM, mas ausente nos boletins</t>
        </is>
      </c>
      <c r="G6" s="2" t="inlineStr">
        <is>
          <t>Elo: Confirmado em 30/09, mas não consta em nenhum boletim</t>
        </is>
      </c>
    </row>
    <row r="7">
      <c r="A7" s="2" t="n">
        <v>3315</v>
      </c>
      <c r="B7" s="2" t="inlineStr">
        <is>
          <t>Presidente</t>
        </is>
      </c>
      <c r="C7" s="2" t="inlineStr">
        <is>
          <t>JAIR DE ASSUNÇÃO CORREIA FILHO</t>
        </is>
      </c>
      <c r="D7" s="2" t="inlineStr">
        <is>
          <t>SIM</t>
        </is>
      </c>
      <c r="E7" s="2" t="inlineStr">
        <is>
          <t>NAO</t>
        </is>
      </c>
      <c r="F7" s="2" t="inlineStr">
        <is>
          <t>Planilha SIM, mas ausente nos boletins</t>
        </is>
      </c>
      <c r="G7" s="2" t="inlineStr">
        <is>
          <t>Elo: Confirmado em 30/09, mas não consta em nenhum boletim</t>
        </is>
      </c>
    </row>
    <row r="8">
      <c r="A8" s="2" t="n">
        <v>3315</v>
      </c>
      <c r="B8" s="2" t="inlineStr">
        <is>
          <t>1º Secretário</t>
        </is>
      </c>
      <c r="C8" s="2" t="inlineStr">
        <is>
          <t>ALANE GERSSICA DE ANDRADE DO NASCIMENTO</t>
        </is>
      </c>
      <c r="D8" s="2" t="inlineStr">
        <is>
          <t>SIM</t>
        </is>
      </c>
      <c r="E8" s="2" t="inlineStr">
        <is>
          <t>NAO</t>
        </is>
      </c>
      <c r="F8" s="2" t="inlineStr">
        <is>
          <t>Planilha SIM, mas ausente nos boletins</t>
        </is>
      </c>
      <c r="G8" s="2" t="inlineStr">
        <is>
          <t>Elo: Confirmado em 30/09, mas não consta em nenhum boletim</t>
        </is>
      </c>
    </row>
    <row r="9">
      <c r="A9" s="2" t="n">
        <v>3054</v>
      </c>
      <c r="B9" s="2" t="inlineStr">
        <is>
          <t>1º Secretário</t>
        </is>
      </c>
      <c r="C9" s="2" t="inlineStr">
        <is>
          <t>GABRIEL SOARES DE CARVALHO</t>
        </is>
      </c>
      <c r="D9" s="2" t="inlineStr">
        <is>
          <t>NAO</t>
        </is>
      </c>
      <c r="E9" s="2" t="inlineStr">
        <is>
          <t>SIM</t>
        </is>
      </c>
      <c r="F9" s="2" t="inlineStr">
        <is>
          <t>Planilha NAO, mas presente nos boletins</t>
        </is>
      </c>
      <c r="G9" s="2" t="n"/>
    </row>
    <row r="10">
      <c r="A10" s="2" t="n">
        <v>3322</v>
      </c>
      <c r="B10" s="2" t="inlineStr">
        <is>
          <t>1º Mesário</t>
        </is>
      </c>
      <c r="C10" s="2" t="inlineStr">
        <is>
          <t>BRENDA ALVES DA SILVA</t>
        </is>
      </c>
      <c r="D10" s="2" t="inlineStr">
        <is>
          <t>NAO</t>
        </is>
      </c>
      <c r="E10" s="2" t="inlineStr">
        <is>
          <t>SIM</t>
        </is>
      </c>
      <c r="F10" s="2" t="inlineStr">
        <is>
          <t>Planilha NAO, mas presente nos boletins</t>
        </is>
      </c>
      <c r="G10" s="2" t="inlineStr">
        <is>
          <t>Atuou em urna diferente da designada; Registrado só no fechamento</t>
        </is>
      </c>
    </row>
    <row r="11">
      <c r="A11" s="2" t="n">
        <v>3688</v>
      </c>
      <c r="B11" s="2" t="inlineStr">
        <is>
          <t>1º Secretário</t>
        </is>
      </c>
      <c r="C11" s="2" t="inlineStr">
        <is>
          <t>LAURO SILVA RAMOS</t>
        </is>
      </c>
      <c r="D11" s="2" t="inlineStr">
        <is>
          <t>NAO</t>
        </is>
      </c>
      <c r="E11" s="2" t="inlineStr">
        <is>
          <t>SIM</t>
        </is>
      </c>
      <c r="F11" s="2" t="inlineStr">
        <is>
          <t>Planilha NAO, mas presente nos boletins</t>
        </is>
      </c>
      <c r="G11" s="2" t="n"/>
    </row>
    <row r="12">
      <c r="A12" s="2" t="n">
        <v>1160</v>
      </c>
      <c r="B12" s="2" t="inlineStr">
        <is>
          <t>Presidente</t>
        </is>
      </c>
      <c r="C12" s="2" t="inlineStr">
        <is>
          <t>PAMELA NASCIMENTO DA SILVA</t>
        </is>
      </c>
      <c r="D12" s="2" t="inlineStr">
        <is>
          <t>0006/2026</t>
        </is>
      </c>
      <c r="E12" s="2" t="inlineStr">
        <is>
          <t>SIM</t>
        </is>
      </c>
      <c r="F12" s="2" t="inlineStr">
        <is>
          <t>Planilha sem dado ("0006/2026"); preenchido pelo boletim</t>
        </is>
      </c>
      <c r="G12" s="2" t="n"/>
    </row>
    <row r="13">
      <c r="A13" s="2" t="n">
        <v>1160</v>
      </c>
      <c r="B13" s="2" t="inlineStr">
        <is>
          <t>1º Mesário</t>
        </is>
      </c>
      <c r="C13" s="2" t="inlineStr">
        <is>
          <t>ARTHUR GRIZ FERREIRA</t>
        </is>
      </c>
      <c r="D13" s="2" t="inlineStr">
        <is>
          <t>0006/2026</t>
        </is>
      </c>
      <c r="E13" s="2" t="inlineStr">
        <is>
          <t>SIM</t>
        </is>
      </c>
      <c r="F13" s="2" t="inlineStr">
        <is>
          <t>Planilha sem dado ("0006/2026"); preenchido pelo boletim</t>
        </is>
      </c>
      <c r="G13" s="2" t="n"/>
    </row>
    <row r="14">
      <c r="A14" s="2" t="n">
        <v>1160</v>
      </c>
      <c r="B14" s="2" t="inlineStr">
        <is>
          <t>2º Mesário</t>
        </is>
      </c>
      <c r="C14" s="2" t="inlineStr">
        <is>
          <t>CRISLAINE DE SOUZA ALMEIDA</t>
        </is>
      </c>
      <c r="D14" s="2" t="inlineStr">
        <is>
          <t>0006/2026</t>
        </is>
      </c>
      <c r="E14" s="2" t="inlineStr">
        <is>
          <t>SIM</t>
        </is>
      </c>
      <c r="F14" s="2" t="inlineStr">
        <is>
          <t>Planilha sem dado ("0006/2026"); preenchido pelo boletim</t>
        </is>
      </c>
      <c r="G14" s="2" t="n"/>
    </row>
    <row r="15">
      <c r="A15" s="2" t="n">
        <v>1160</v>
      </c>
      <c r="B15" s="2" t="inlineStr">
        <is>
          <t>1º Secretário</t>
        </is>
      </c>
      <c r="C15" s="2" t="inlineStr">
        <is>
          <t>CINTIA DOS SANTOS</t>
        </is>
      </c>
      <c r="D15" s="2" t="inlineStr">
        <is>
          <t>0006/2026</t>
        </is>
      </c>
      <c r="E15" s="2" t="inlineStr">
        <is>
          <t>SIM</t>
        </is>
      </c>
      <c r="F15" s="2" t="inlineStr">
        <is>
          <t>Planilha sem dado ("0006/2026"); preenchido pelo boletim</t>
        </is>
      </c>
      <c r="G15" s="2" t="inlineStr">
        <is>
          <t>Aparece também em boletim de outra urna</t>
        </is>
      </c>
    </row>
    <row r="16">
      <c r="A16" s="2" t="n">
        <v>3245</v>
      </c>
      <c r="B16" s="2" t="inlineStr">
        <is>
          <t>Presidente</t>
        </is>
      </c>
      <c r="C16" s="2" t="inlineStr">
        <is>
          <t>MARIANA JURANDIR GASPARETTI</t>
        </is>
      </c>
      <c r="D16" s="2" t="inlineStr">
        <is>
          <t>0006/2026</t>
        </is>
      </c>
      <c r="E16" s="2" t="inlineStr">
        <is>
          <t>SIM</t>
        </is>
      </c>
      <c r="F16" s="2" t="inlineStr">
        <is>
          <t>Planilha sem dado ("0006/2026"); preenchido pelo boletim</t>
        </is>
      </c>
      <c r="G16" s="2" t="inlineStr">
        <is>
          <t>Fechamento da urna sem nomes nem assinaturas</t>
        </is>
      </c>
    </row>
    <row r="17">
      <c r="A17" s="2" t="n">
        <v>3245</v>
      </c>
      <c r="B17" s="2" t="inlineStr">
        <is>
          <t>1º Mesário</t>
        </is>
      </c>
      <c r="C17" s="2" t="inlineStr">
        <is>
          <t>JOAO GABRIEL BARBOSA CESAR</t>
        </is>
      </c>
      <c r="D17" s="2" t="inlineStr">
        <is>
          <t>0006/2026</t>
        </is>
      </c>
      <c r="E17" s="2" t="inlineStr">
        <is>
          <t>SIM</t>
        </is>
      </c>
      <c r="F17" s="2" t="inlineStr">
        <is>
          <t>Planilha sem dado ("0006/2026"); preenchido pelo boletim</t>
        </is>
      </c>
      <c r="G17" s="2" t="inlineStr">
        <is>
          <t>Fechamento da urna sem nomes nem assinaturas</t>
        </is>
      </c>
    </row>
    <row r="18">
      <c r="A18" s="2" t="n">
        <v>3245</v>
      </c>
      <c r="B18" s="2" t="inlineStr">
        <is>
          <t>2º Mesário</t>
        </is>
      </c>
      <c r="C18" s="2" t="inlineStr">
        <is>
          <t>TALITA DE ARAUJO CARVALHO</t>
        </is>
      </c>
      <c r="D18" s="2" t="inlineStr">
        <is>
          <t>0006/2026</t>
        </is>
      </c>
      <c r="E18" s="2" t="inlineStr">
        <is>
          <t>SIM</t>
        </is>
      </c>
      <c r="F18" s="2" t="inlineStr">
        <is>
          <t>Planilha sem dado ("0006/2026"); preenchido pelo boletim</t>
        </is>
      </c>
      <c r="G18" s="2" t="inlineStr">
        <is>
          <t>Fechamento da urna sem nomes nem assinaturas</t>
        </is>
      </c>
    </row>
    <row r="19">
      <c r="A19" s="2" t="n">
        <v>3245</v>
      </c>
      <c r="B19" s="2" t="inlineStr">
        <is>
          <t>1º Secretário</t>
        </is>
      </c>
      <c r="C19" s="2" t="inlineStr">
        <is>
          <t>VINICIUS ARAUJO DE OLIVEIRA</t>
        </is>
      </c>
      <c r="D19" s="2" t="inlineStr">
        <is>
          <t>-</t>
        </is>
      </c>
      <c r="E19" s="2" t="inlineStr">
        <is>
          <t>NAO</t>
        </is>
      </c>
      <c r="F19" s="2" t="inlineStr">
        <is>
          <t>Planilha sem dado ("-"); preenchido pelo boletim</t>
        </is>
      </c>
      <c r="G19" s="2" t="n"/>
    </row>
    <row r="20">
      <c r="A20" s="2" t="n">
        <v>3305</v>
      </c>
      <c r="B20" s="2" t="inlineStr">
        <is>
          <t>Presidente</t>
        </is>
      </c>
      <c r="C20" s="2" t="inlineStr">
        <is>
          <t>SARA RODRIGUES GOMES</t>
        </is>
      </c>
      <c r="D20" s="2" t="inlineStr">
        <is>
          <t>0006/2026</t>
        </is>
      </c>
      <c r="E20" s="2" t="inlineStr">
        <is>
          <t>NAO</t>
        </is>
      </c>
      <c r="F20" s="2" t="inlineStr">
        <is>
          <t>Planilha sem dado ("0006/2026"); preenchido pelo boletim</t>
        </is>
      </c>
      <c r="G20" s="2" t="inlineStr">
        <is>
          <t>Elo: Confirmado em 30/09, mas não consta em nenhum boletim</t>
        </is>
      </c>
    </row>
    <row r="21">
      <c r="A21" s="2" t="n">
        <v>3305</v>
      </c>
      <c r="B21" s="2" t="inlineStr">
        <is>
          <t>1º Mesário</t>
        </is>
      </c>
      <c r="C21" s="2" t="inlineStr">
        <is>
          <t>MARIA HELENA DE FRANÇA MELLO ALVES</t>
        </is>
      </c>
      <c r="D21" s="2" t="inlineStr">
        <is>
          <t>0006/2026</t>
        </is>
      </c>
      <c r="E21" s="2" t="inlineStr">
        <is>
          <t>SIM</t>
        </is>
      </c>
      <c r="F21" s="2" t="inlineStr">
        <is>
          <t>Planilha sem dado ("0006/2026"); preenchido pelo boletim</t>
        </is>
      </c>
      <c r="G21" s="2" t="n"/>
    </row>
    <row r="22">
      <c r="A22" s="2" t="n">
        <v>3305</v>
      </c>
      <c r="B22" s="2" t="inlineStr">
        <is>
          <t>2º Mesário</t>
        </is>
      </c>
      <c r="C22" s="2" t="inlineStr">
        <is>
          <t>FÁBIO MARCELO DA TRINDADE</t>
        </is>
      </c>
      <c r="D22" s="2" t="inlineStr">
        <is>
          <t>0006/2026</t>
        </is>
      </c>
      <c r="E22" s="2" t="inlineStr">
        <is>
          <t>SIM</t>
        </is>
      </c>
      <c r="F22" s="2" t="inlineStr">
        <is>
          <t>Planilha sem dado ("0006/2026"); preenchido pelo boletim</t>
        </is>
      </c>
      <c r="G22" s="2" t="n"/>
    </row>
    <row r="23">
      <c r="A23" s="2" t="n">
        <v>3305</v>
      </c>
      <c r="B23" s="2" t="inlineStr">
        <is>
          <t>1º Secretário</t>
        </is>
      </c>
      <c r="C23" s="2" t="inlineStr">
        <is>
          <t>FAGNER DE PAULA ALMEIDA MORAIS</t>
        </is>
      </c>
      <c r="D23" s="2" t="inlineStr">
        <is>
          <t>0006/2026</t>
        </is>
      </c>
      <c r="E23" s="2" t="inlineStr">
        <is>
          <t>SIM</t>
        </is>
      </c>
      <c r="F23" s="2" t="inlineStr">
        <is>
          <t>Planilha sem dado ("0006/2026"); preenchido pelo boletim</t>
        </is>
      </c>
      <c r="G23" s="2" t="n"/>
    </row>
    <row r="24">
      <c r="A24" s="2" t="n">
        <v>3311</v>
      </c>
      <c r="B24" s="2" t="inlineStr">
        <is>
          <t>Presidente</t>
        </is>
      </c>
      <c r="C24" s="2" t="inlineStr">
        <is>
          <t>FLAVIA NASCIMENTO DE SOUZA</t>
        </is>
      </c>
      <c r="D24" s="2" t="inlineStr">
        <is>
          <t>-</t>
        </is>
      </c>
      <c r="E24" s="2" t="inlineStr">
        <is>
          <t>SIM</t>
        </is>
      </c>
      <c r="F24" s="2" t="inlineStr">
        <is>
          <t>Planilha sem dado ("-"); preenchido pelo boletim</t>
        </is>
      </c>
      <c r="G24" s="2" t="n"/>
    </row>
    <row r="25">
      <c r="A25" s="2" t="n">
        <v>3311</v>
      </c>
      <c r="B25" s="2" t="inlineStr">
        <is>
          <t>1º Mesário</t>
        </is>
      </c>
      <c r="C25" s="2" t="inlineStr">
        <is>
          <t>RODRIGO ERASMO BARBOZA</t>
        </is>
      </c>
      <c r="D25" s="2" t="inlineStr">
        <is>
          <t>-</t>
        </is>
      </c>
      <c r="E25" s="2" t="inlineStr">
        <is>
          <t>SIM</t>
        </is>
      </c>
      <c r="F25" s="2" t="inlineStr">
        <is>
          <t>Planilha sem dado ("-"); preenchido pelo boletim</t>
        </is>
      </c>
      <c r="G25" s="2" t="inlineStr">
        <is>
          <t>Elo: Sem resposta em 30/09, mas compareceu</t>
        </is>
      </c>
    </row>
    <row r="26">
      <c r="A26" s="2" t="n">
        <v>3311</v>
      </c>
      <c r="B26" s="2" t="inlineStr">
        <is>
          <t>2º Mesário</t>
        </is>
      </c>
      <c r="C26" s="2" t="inlineStr">
        <is>
          <t>EDNALDO AZEVEDO DE NORONHA</t>
        </is>
      </c>
      <c r="D26" s="2" t="inlineStr">
        <is>
          <t>0006/2026</t>
        </is>
      </c>
      <c r="E26" s="2" t="inlineStr">
        <is>
          <t>SIM</t>
        </is>
      </c>
      <c r="F26" s="2" t="inlineStr">
        <is>
          <t>Planilha sem dado ("0006/2026"); preenchido pelo boletim</t>
        </is>
      </c>
      <c r="G26" s="2" t="n"/>
    </row>
    <row r="27">
      <c r="A27" s="2" t="n">
        <v>3311</v>
      </c>
      <c r="B27" s="2" t="inlineStr">
        <is>
          <t>1º Secretário</t>
        </is>
      </c>
      <c r="C27" s="2" t="inlineStr">
        <is>
          <t>THAÍS TERÊNCIO PEREIRA</t>
        </is>
      </c>
      <c r="D27" s="2" t="inlineStr">
        <is>
          <t>0006/2026</t>
        </is>
      </c>
      <c r="E27" s="2" t="inlineStr">
        <is>
          <t>SIM</t>
        </is>
      </c>
      <c r="F27" s="2" t="inlineStr">
        <is>
          <t>Planilha sem dado ("0006/2026"); preenchido pelo boletim</t>
        </is>
      </c>
      <c r="G27" s="2" t="n"/>
    </row>
  </sheetData>
  <autoFilter ref="A1:G27"/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tabSelected="0" zoomScaleNormal="100" workbookViewId="0">
      <selection activeCell="A1" sqref="A1"/>
    </sheetView>
  </sheetViews>
  <sheetFormatPr baseColWidth="8" defaultColWidth="8.7109375" defaultRowHeight="15"/>
  <cols>
    <col width="34" customWidth="1" min="1" max="1"/>
    <col width="18" customWidth="1" min="2" max="2"/>
    <col width="8" customWidth="1" min="3" max="3"/>
    <col width="10" customWidth="1" min="4" max="4"/>
    <col width="12" customWidth="1" min="5" max="5"/>
    <col width="90" customWidth="1" min="6" max="6"/>
  </cols>
  <sheetData>
    <row r="1">
      <c r="A1" s="7" t="inlineStr">
        <is>
          <t>Nome (como lido na foto)</t>
        </is>
      </c>
      <c r="B1" s="7" t="inlineStr">
        <is>
          <t>Título (impresso)</t>
        </is>
      </c>
      <c r="C1" s="7" t="inlineStr">
        <is>
          <t>Urna</t>
        </is>
      </c>
      <c r="D1" s="7" t="inlineStr">
        <is>
          <t>Abertura</t>
        </is>
      </c>
      <c r="E1" s="7" t="inlineStr">
        <is>
          <t>Fechamento</t>
        </is>
      </c>
      <c r="F1" s="7" t="inlineStr">
        <is>
          <t>Observação</t>
        </is>
      </c>
    </row>
    <row r="2">
      <c r="A2" s="2" t="inlineStr">
        <is>
          <t>THALISON MIQUILINI MOTTA</t>
        </is>
      </c>
      <c r="B2" s="2" t="inlineStr">
        <is>
          <t>1907 0865 0248</t>
        </is>
      </c>
      <c r="C2" s="2" t="n">
        <v>3322</v>
      </c>
      <c r="D2" s="2" t="inlineStr">
        <is>
          <t>Sim</t>
        </is>
      </c>
      <c r="E2" s="2" t="inlineStr">
        <is>
          <t>Assinou</t>
        </is>
      </c>
      <c r="F2" s="2" t="inlineStr">
        <is>
          <t>Não consta da lista Elo de 30/09 (111 mesários). Grafia manuscrita lida da foto, a confirmar. Provável substituto de Rudinei Cordeiro ou Brenda Alves (3322).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2026-10-12T10:23:07Z</dcterms:created>
  <dcterms:modified xmlns:dcterms="http://purl.org/dc/terms/" xmlns:xsi="http://www.w3.org/2001/XMLSchema-instance" xsi:type="dcterms:W3CDTF">2026-10-12T10:52:47Z</dcterms:modified>
  <cp:lastModifiedBy>Hamad Mota Kalaf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0x010100975F954B7D72B645B4C0A5F040EF7123</vt:lpwstr>
  </property>
  <property name="MediaServiceImageTags" fmtid="{D5CDD505-2E9C-101B-9397-08002B2CF9AE}" pid="3">
    <vt:lpwstr xmlns:vt="http://schemas.openxmlformats.org/officeDocument/2006/docPropsVTypes"/>
  </property>
</Properties>
</file>