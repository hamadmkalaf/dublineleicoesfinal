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ctativa" sheetId="1" state="visible" r:id="rId1"/>
    <sheet xmlns:r="http://schemas.openxmlformats.org/officeDocument/2006/relationships" name="Mesários" sheetId="2" state="visible" r:id="rId2"/>
    <sheet xmlns:r="http://schemas.openxmlformats.org/officeDocument/2006/relationships" name="Funções a preencher" sheetId="3" state="visible" r:id="rId3"/>
    <sheet xmlns:r="http://schemas.openxmlformats.org/officeDocument/2006/relationships" name="Por seção" sheetId="4" state="visible" r:id="rId4"/>
  </sheets>
  <definedNames>
    <definedName name="_xlnm._FilterDatabase" localSheetId="0" hidden="1">'Expectativa'!$A$1:$C$113</definedName>
    <definedName name="_xlnm._FilterDatabase" localSheetId="1" hidden="1">'Mesários'!$A$1:$J$113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FFFFFFFF"/>
    </font>
    <font>
      <i val="1"/>
      <color rgb="FF595959"/>
      <sz val="9"/>
    </font>
    <font>
      <color rgb="FF808080"/>
    </font>
    <font>
      <b val="1"/>
    </font>
  </fonts>
  <fills count="3">
    <fill>
      <patternFill/>
    </fill>
    <fill>
      <patternFill patternType="gray125"/>
    </fill>
    <fill>
      <patternFill patternType="solid">
        <fgColor rgb="FF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4" fillId="0" borderId="0" pivotButton="0" quotePrefix="0" xfId="0"/>
    <xf numFmtId="49" fontId="0" fillId="0" borderId="0" pivotButton="0" quotePrefix="0" xfId="0"/>
    <xf numFmtId="0" fontId="3" fillId="0" borderId="0" pivotButton="0" quotePrefix="0" xfId="0"/>
    <xf numFmtId="0" fontId="2" fillId="0" borderId="0" applyAlignment="1" pivotButton="0" quotePrefix="0" xfId="0">
      <alignment vertical="top" wrapText="1"/>
    </xf>
    <xf numFmtId="3" fontId="0" fillId="0" borderId="0" pivotButton="0" quotePrefix="0" xfId="0"/>
  </cellXfs>
  <cellStyles count="1">
    <cellStyle name="Normal" xfId="0" builtinId="0" hidden="0"/>
  </cellStyles>
  <dxfs count="8">
    <dxf>
      <fill>
        <patternFill patternType="solid">
          <bgColor rgb="FFC6EFCE"/>
        </patternFill>
      </fill>
    </dxf>
    <dxf>
      <fill>
        <patternFill patternType="solid">
          <bgColor rgb="FFFFEB9C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D9D9D9"/>
        </patternFill>
      </fill>
    </dxf>
    <dxf>
      <font>
        <b val="1"/>
        <color rgb="FFC00000"/>
      </font>
    </dxf>
    <dxf>
      <fill>
        <patternFill patternType="solid">
          <bgColor rgb="FFFF9999"/>
        </patternFill>
      </fill>
    </dxf>
    <dxf>
      <fill>
        <patternFill patternType="solid">
          <bgColor rgb="FFFFE699"/>
        </patternFill>
      </fill>
    </dxf>
    <dxf>
      <fill>
        <patternFill patternType="solid">
          <bgColor rgb="FFC6E0B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0" customWidth="1" min="2" max="2"/>
    <col width="22" customWidth="1" min="3" max="3"/>
    <col width="3" customWidth="1" min="4" max="4"/>
    <col width="22" customWidth="1" min="5" max="5"/>
    <col width="7" customWidth="1" min="6" max="6"/>
  </cols>
  <sheetData>
    <row r="1" ht="30" customHeight="1">
      <c r="A1" s="1" t="inlineStr">
        <is>
          <t>Seção</t>
        </is>
      </c>
      <c r="B1" s="1" t="inlineStr">
        <is>
          <t>Nome</t>
        </is>
      </c>
      <c r="C1" s="1" t="inlineStr">
        <is>
          <t>Expectativa</t>
        </is>
      </c>
      <c r="E1" s="2" t="inlineStr">
        <is>
          <t>Resumo</t>
        </is>
      </c>
    </row>
    <row r="2">
      <c r="A2">
        <f>'Mesários'!A2</f>
        <v/>
      </c>
      <c r="B2">
        <f>'Mesários'!C2</f>
        <v/>
      </c>
      <c r="C2">
        <f>'Mesários'!I2</f>
        <v/>
      </c>
      <c r="E2" t="inlineStr">
        <is>
          <t>Deve comparecer</t>
        </is>
      </c>
      <c r="F2">
        <f>COUNTIF('Mesários'!$I$2:$I$113,"Deve comparecer")</f>
        <v/>
      </c>
    </row>
    <row r="3">
      <c r="A3">
        <f>'Mesários'!A3</f>
        <v/>
      </c>
      <c r="B3">
        <f>'Mesários'!C3</f>
        <v/>
      </c>
      <c r="C3">
        <f>'Mesários'!I3</f>
        <v/>
      </c>
      <c r="E3" t="inlineStr">
        <is>
          <t>Confirmar</t>
        </is>
      </c>
      <c r="F3">
        <f>COUNTIF('Mesários'!$I$2:$I$113,"Confirmar")</f>
        <v/>
      </c>
    </row>
    <row r="4">
      <c r="A4">
        <f>'Mesários'!A4</f>
        <v/>
      </c>
      <c r="B4">
        <f>'Mesários'!C4</f>
        <v/>
      </c>
      <c r="C4">
        <f>'Mesários'!I4</f>
        <v/>
      </c>
      <c r="E4" t="inlineStr">
        <is>
          <t>Não deve comparecer</t>
        </is>
      </c>
      <c r="F4">
        <f>COUNTIF('Mesários'!$I$2:$I$113,"Não deve comparecer")</f>
        <v/>
      </c>
    </row>
    <row r="5">
      <c r="A5">
        <f>'Mesários'!A5</f>
        <v/>
      </c>
      <c r="B5">
        <f>'Mesários'!C5</f>
        <v/>
      </c>
      <c r="C5">
        <f>'Mesários'!I5</f>
        <v/>
      </c>
      <c r="E5" t="inlineStr">
        <is>
          <t>Vago</t>
        </is>
      </c>
      <c r="F5">
        <f>COUNTIF('Mesários'!$I$2:$I$113,"Vago")</f>
        <v/>
      </c>
    </row>
    <row r="6">
      <c r="A6">
        <f>'Mesários'!A6</f>
        <v/>
      </c>
      <c r="B6">
        <f>'Mesários'!C6</f>
        <v/>
      </c>
      <c r="C6">
        <f>'Mesários'!I6</f>
        <v/>
      </c>
      <c r="E6" s="2" t="inlineStr">
        <is>
          <t>Total</t>
        </is>
      </c>
      <c r="F6" s="2">
        <f>SUM(F2:F5)</f>
        <v/>
      </c>
    </row>
    <row r="7">
      <c r="A7">
        <f>'Mesários'!A7</f>
        <v/>
      </c>
      <c r="B7">
        <f>'Mesários'!C7</f>
        <v/>
      </c>
      <c r="C7">
        <f>'Mesários'!I7</f>
        <v/>
      </c>
    </row>
    <row r="8">
      <c r="A8">
        <f>'Mesários'!A8</f>
        <v/>
      </c>
      <c r="B8">
        <f>'Mesários'!C8</f>
        <v/>
      </c>
      <c r="C8">
        <f>'Mesários'!I8</f>
        <v/>
      </c>
    </row>
    <row r="9">
      <c r="A9">
        <f>'Mesários'!A9</f>
        <v/>
      </c>
      <c r="B9">
        <f>'Mesários'!C9</f>
        <v/>
      </c>
      <c r="C9">
        <f>'Mesários'!I9</f>
        <v/>
      </c>
    </row>
    <row r="10">
      <c r="A10">
        <f>'Mesários'!A10</f>
        <v/>
      </c>
      <c r="B10">
        <f>'Mesários'!C10</f>
        <v/>
      </c>
      <c r="C10">
        <f>'Mesários'!I10</f>
        <v/>
      </c>
    </row>
    <row r="11">
      <c r="A11">
        <f>'Mesários'!A11</f>
        <v/>
      </c>
      <c r="B11">
        <f>'Mesários'!C11</f>
        <v/>
      </c>
      <c r="C11">
        <f>'Mesários'!I11</f>
        <v/>
      </c>
    </row>
    <row r="12">
      <c r="A12">
        <f>'Mesários'!A12</f>
        <v/>
      </c>
      <c r="B12">
        <f>'Mesários'!C12</f>
        <v/>
      </c>
      <c r="C12">
        <f>'Mesários'!I12</f>
        <v/>
      </c>
    </row>
    <row r="13">
      <c r="A13">
        <f>'Mesários'!A13</f>
        <v/>
      </c>
      <c r="B13">
        <f>'Mesários'!C13</f>
        <v/>
      </c>
      <c r="C13">
        <f>'Mesários'!I13</f>
        <v/>
      </c>
    </row>
    <row r="14">
      <c r="A14">
        <f>'Mesários'!A14</f>
        <v/>
      </c>
      <c r="B14">
        <f>'Mesários'!C14</f>
        <v/>
      </c>
      <c r="C14">
        <f>'Mesários'!I14</f>
        <v/>
      </c>
    </row>
    <row r="15">
      <c r="A15">
        <f>'Mesários'!A15</f>
        <v/>
      </c>
      <c r="B15">
        <f>'Mesários'!C15</f>
        <v/>
      </c>
      <c r="C15">
        <f>'Mesários'!I15</f>
        <v/>
      </c>
    </row>
    <row r="16">
      <c r="A16">
        <f>'Mesários'!A16</f>
        <v/>
      </c>
      <c r="B16">
        <f>'Mesários'!C16</f>
        <v/>
      </c>
      <c r="C16">
        <f>'Mesários'!I16</f>
        <v/>
      </c>
    </row>
    <row r="17">
      <c r="A17">
        <f>'Mesários'!A17</f>
        <v/>
      </c>
      <c r="B17">
        <f>'Mesários'!C17</f>
        <v/>
      </c>
      <c r="C17">
        <f>'Mesários'!I17</f>
        <v/>
      </c>
    </row>
    <row r="18">
      <c r="A18">
        <f>'Mesários'!A18</f>
        <v/>
      </c>
      <c r="B18">
        <f>'Mesários'!C18</f>
        <v/>
      </c>
      <c r="C18">
        <f>'Mesários'!I18</f>
        <v/>
      </c>
    </row>
    <row r="19">
      <c r="A19">
        <f>'Mesários'!A19</f>
        <v/>
      </c>
      <c r="B19">
        <f>'Mesários'!C19</f>
        <v/>
      </c>
      <c r="C19">
        <f>'Mesários'!I19</f>
        <v/>
      </c>
    </row>
    <row r="20">
      <c r="A20">
        <f>'Mesários'!A20</f>
        <v/>
      </c>
      <c r="B20">
        <f>'Mesários'!C20</f>
        <v/>
      </c>
      <c r="C20">
        <f>'Mesários'!I20</f>
        <v/>
      </c>
    </row>
    <row r="21">
      <c r="A21">
        <f>'Mesários'!A21</f>
        <v/>
      </c>
      <c r="B21">
        <f>'Mesários'!C21</f>
        <v/>
      </c>
      <c r="C21">
        <f>'Mesários'!I21</f>
        <v/>
      </c>
    </row>
    <row r="22">
      <c r="A22">
        <f>'Mesários'!A22</f>
        <v/>
      </c>
      <c r="B22">
        <f>'Mesários'!C22</f>
        <v/>
      </c>
      <c r="C22">
        <f>'Mesários'!I22</f>
        <v/>
      </c>
    </row>
    <row r="23">
      <c r="A23">
        <f>'Mesários'!A23</f>
        <v/>
      </c>
      <c r="B23">
        <f>'Mesários'!C23</f>
        <v/>
      </c>
      <c r="C23">
        <f>'Mesários'!I23</f>
        <v/>
      </c>
    </row>
    <row r="24">
      <c r="A24">
        <f>'Mesários'!A24</f>
        <v/>
      </c>
      <c r="B24">
        <f>'Mesários'!C24</f>
        <v/>
      </c>
      <c r="C24">
        <f>'Mesários'!I24</f>
        <v/>
      </c>
    </row>
    <row r="25">
      <c r="A25">
        <f>'Mesários'!A25</f>
        <v/>
      </c>
      <c r="B25">
        <f>'Mesários'!C25</f>
        <v/>
      </c>
      <c r="C25">
        <f>'Mesários'!I25</f>
        <v/>
      </c>
    </row>
    <row r="26">
      <c r="A26">
        <f>'Mesários'!A26</f>
        <v/>
      </c>
      <c r="B26">
        <f>'Mesários'!C26</f>
        <v/>
      </c>
      <c r="C26">
        <f>'Mesários'!I26</f>
        <v/>
      </c>
    </row>
    <row r="27">
      <c r="A27">
        <f>'Mesários'!A27</f>
        <v/>
      </c>
      <c r="B27">
        <f>'Mesários'!C27</f>
        <v/>
      </c>
      <c r="C27">
        <f>'Mesários'!I27</f>
        <v/>
      </c>
    </row>
    <row r="28">
      <c r="A28">
        <f>'Mesários'!A28</f>
        <v/>
      </c>
      <c r="B28">
        <f>'Mesários'!C28</f>
        <v/>
      </c>
      <c r="C28">
        <f>'Mesários'!I28</f>
        <v/>
      </c>
    </row>
    <row r="29">
      <c r="A29">
        <f>'Mesários'!A29</f>
        <v/>
      </c>
      <c r="B29">
        <f>'Mesários'!C29</f>
        <v/>
      </c>
      <c r="C29">
        <f>'Mesários'!I29</f>
        <v/>
      </c>
    </row>
    <row r="30">
      <c r="A30">
        <f>'Mesários'!A30</f>
        <v/>
      </c>
      <c r="B30">
        <f>'Mesários'!C30</f>
        <v/>
      </c>
      <c r="C30">
        <f>'Mesários'!I30</f>
        <v/>
      </c>
    </row>
    <row r="31">
      <c r="A31">
        <f>'Mesários'!A31</f>
        <v/>
      </c>
      <c r="B31">
        <f>'Mesários'!C31</f>
        <v/>
      </c>
      <c r="C31">
        <f>'Mesários'!I31</f>
        <v/>
      </c>
    </row>
    <row r="32">
      <c r="A32">
        <f>'Mesários'!A32</f>
        <v/>
      </c>
      <c r="B32">
        <f>'Mesários'!C32</f>
        <v/>
      </c>
      <c r="C32">
        <f>'Mesários'!I32</f>
        <v/>
      </c>
    </row>
    <row r="33">
      <c r="A33">
        <f>'Mesários'!A33</f>
        <v/>
      </c>
      <c r="B33">
        <f>'Mesários'!C33</f>
        <v/>
      </c>
      <c r="C33">
        <f>'Mesários'!I33</f>
        <v/>
      </c>
    </row>
    <row r="34">
      <c r="A34">
        <f>'Mesários'!A34</f>
        <v/>
      </c>
      <c r="B34">
        <f>'Mesários'!C34</f>
        <v/>
      </c>
      <c r="C34">
        <f>'Mesários'!I34</f>
        <v/>
      </c>
    </row>
    <row r="35">
      <c r="A35">
        <f>'Mesários'!A35</f>
        <v/>
      </c>
      <c r="B35">
        <f>'Mesários'!C35</f>
        <v/>
      </c>
      <c r="C35">
        <f>'Mesários'!I35</f>
        <v/>
      </c>
    </row>
    <row r="36">
      <c r="A36">
        <f>'Mesários'!A36</f>
        <v/>
      </c>
      <c r="B36">
        <f>'Mesários'!C36</f>
        <v/>
      </c>
      <c r="C36">
        <f>'Mesários'!I36</f>
        <v/>
      </c>
    </row>
    <row r="37">
      <c r="A37">
        <f>'Mesários'!A37</f>
        <v/>
      </c>
      <c r="B37">
        <f>'Mesários'!C37</f>
        <v/>
      </c>
      <c r="C37">
        <f>'Mesários'!I37</f>
        <v/>
      </c>
    </row>
    <row r="38">
      <c r="A38">
        <f>'Mesários'!A38</f>
        <v/>
      </c>
      <c r="B38">
        <f>'Mesários'!C38</f>
        <v/>
      </c>
      <c r="C38">
        <f>'Mesários'!I38</f>
        <v/>
      </c>
    </row>
    <row r="39">
      <c r="A39">
        <f>'Mesários'!A39</f>
        <v/>
      </c>
      <c r="B39">
        <f>'Mesários'!C39</f>
        <v/>
      </c>
      <c r="C39">
        <f>'Mesários'!I39</f>
        <v/>
      </c>
    </row>
    <row r="40">
      <c r="A40">
        <f>'Mesários'!A40</f>
        <v/>
      </c>
      <c r="B40">
        <f>'Mesários'!C40</f>
        <v/>
      </c>
      <c r="C40">
        <f>'Mesários'!I40</f>
        <v/>
      </c>
    </row>
    <row r="41">
      <c r="A41">
        <f>'Mesários'!A41</f>
        <v/>
      </c>
      <c r="B41">
        <f>'Mesários'!C41</f>
        <v/>
      </c>
      <c r="C41">
        <f>'Mesários'!I41</f>
        <v/>
      </c>
    </row>
    <row r="42">
      <c r="A42">
        <f>'Mesários'!A42</f>
        <v/>
      </c>
      <c r="B42">
        <f>'Mesários'!C42</f>
        <v/>
      </c>
      <c r="C42">
        <f>'Mesários'!I42</f>
        <v/>
      </c>
    </row>
    <row r="43">
      <c r="A43">
        <f>'Mesários'!A43</f>
        <v/>
      </c>
      <c r="B43">
        <f>'Mesários'!C43</f>
        <v/>
      </c>
      <c r="C43">
        <f>'Mesários'!I43</f>
        <v/>
      </c>
    </row>
    <row r="44">
      <c r="A44">
        <f>'Mesários'!A44</f>
        <v/>
      </c>
      <c r="B44">
        <f>'Mesários'!C44</f>
        <v/>
      </c>
      <c r="C44">
        <f>'Mesários'!I44</f>
        <v/>
      </c>
    </row>
    <row r="45">
      <c r="A45">
        <f>'Mesários'!A45</f>
        <v/>
      </c>
      <c r="B45">
        <f>'Mesários'!C45</f>
        <v/>
      </c>
      <c r="C45">
        <f>'Mesários'!I45</f>
        <v/>
      </c>
    </row>
    <row r="46">
      <c r="A46">
        <f>'Mesários'!A46</f>
        <v/>
      </c>
      <c r="B46">
        <f>'Mesários'!C46</f>
        <v/>
      </c>
      <c r="C46">
        <f>'Mesários'!I46</f>
        <v/>
      </c>
    </row>
    <row r="47">
      <c r="A47">
        <f>'Mesários'!A47</f>
        <v/>
      </c>
      <c r="B47">
        <f>'Mesários'!C47</f>
        <v/>
      </c>
      <c r="C47">
        <f>'Mesários'!I47</f>
        <v/>
      </c>
    </row>
    <row r="48">
      <c r="A48">
        <f>'Mesários'!A48</f>
        <v/>
      </c>
      <c r="B48">
        <f>'Mesários'!C48</f>
        <v/>
      </c>
      <c r="C48">
        <f>'Mesários'!I48</f>
        <v/>
      </c>
    </row>
    <row r="49">
      <c r="A49">
        <f>'Mesários'!A49</f>
        <v/>
      </c>
      <c r="B49">
        <f>'Mesários'!C49</f>
        <v/>
      </c>
      <c r="C49">
        <f>'Mesários'!I49</f>
        <v/>
      </c>
    </row>
    <row r="50">
      <c r="A50">
        <f>'Mesários'!A50</f>
        <v/>
      </c>
      <c r="B50">
        <f>'Mesários'!C50</f>
        <v/>
      </c>
      <c r="C50">
        <f>'Mesários'!I50</f>
        <v/>
      </c>
    </row>
    <row r="51">
      <c r="A51">
        <f>'Mesários'!A51</f>
        <v/>
      </c>
      <c r="B51">
        <f>'Mesários'!C51</f>
        <v/>
      </c>
      <c r="C51">
        <f>'Mesários'!I51</f>
        <v/>
      </c>
    </row>
    <row r="52">
      <c r="A52">
        <f>'Mesários'!A52</f>
        <v/>
      </c>
      <c r="B52">
        <f>'Mesários'!C52</f>
        <v/>
      </c>
      <c r="C52">
        <f>'Mesários'!I52</f>
        <v/>
      </c>
    </row>
    <row r="53">
      <c r="A53">
        <f>'Mesários'!A53</f>
        <v/>
      </c>
      <c r="B53">
        <f>'Mesários'!C53</f>
        <v/>
      </c>
      <c r="C53">
        <f>'Mesários'!I53</f>
        <v/>
      </c>
    </row>
    <row r="54">
      <c r="A54">
        <f>'Mesários'!A54</f>
        <v/>
      </c>
      <c r="B54">
        <f>'Mesários'!C54</f>
        <v/>
      </c>
      <c r="C54">
        <f>'Mesários'!I54</f>
        <v/>
      </c>
    </row>
    <row r="55">
      <c r="A55">
        <f>'Mesários'!A55</f>
        <v/>
      </c>
      <c r="B55">
        <f>'Mesários'!C55</f>
        <v/>
      </c>
      <c r="C55">
        <f>'Mesários'!I55</f>
        <v/>
      </c>
    </row>
    <row r="56">
      <c r="A56">
        <f>'Mesários'!A56</f>
        <v/>
      </c>
      <c r="B56">
        <f>'Mesários'!C56</f>
        <v/>
      </c>
      <c r="C56">
        <f>'Mesários'!I56</f>
        <v/>
      </c>
    </row>
    <row r="57">
      <c r="A57">
        <f>'Mesários'!A57</f>
        <v/>
      </c>
      <c r="B57">
        <f>'Mesários'!C57</f>
        <v/>
      </c>
      <c r="C57">
        <f>'Mesários'!I57</f>
        <v/>
      </c>
    </row>
    <row r="58">
      <c r="A58">
        <f>'Mesários'!A58</f>
        <v/>
      </c>
      <c r="B58">
        <f>'Mesários'!C58</f>
        <v/>
      </c>
      <c r="C58">
        <f>'Mesários'!I58</f>
        <v/>
      </c>
    </row>
    <row r="59">
      <c r="A59">
        <f>'Mesários'!A59</f>
        <v/>
      </c>
      <c r="B59">
        <f>'Mesários'!C59</f>
        <v/>
      </c>
      <c r="C59">
        <f>'Mesários'!I59</f>
        <v/>
      </c>
    </row>
    <row r="60">
      <c r="A60">
        <f>'Mesários'!A60</f>
        <v/>
      </c>
      <c r="B60">
        <f>'Mesários'!C60</f>
        <v/>
      </c>
      <c r="C60">
        <f>'Mesários'!I60</f>
        <v/>
      </c>
    </row>
    <row r="61">
      <c r="A61">
        <f>'Mesários'!A61</f>
        <v/>
      </c>
      <c r="B61">
        <f>'Mesários'!C61</f>
        <v/>
      </c>
      <c r="C61">
        <f>'Mesários'!I61</f>
        <v/>
      </c>
    </row>
    <row r="62">
      <c r="A62">
        <f>'Mesários'!A62</f>
        <v/>
      </c>
      <c r="B62">
        <f>'Mesários'!C62</f>
        <v/>
      </c>
      <c r="C62">
        <f>'Mesários'!I62</f>
        <v/>
      </c>
    </row>
    <row r="63">
      <c r="A63">
        <f>'Mesários'!A63</f>
        <v/>
      </c>
      <c r="B63">
        <f>'Mesários'!C63</f>
        <v/>
      </c>
      <c r="C63">
        <f>'Mesários'!I63</f>
        <v/>
      </c>
    </row>
    <row r="64">
      <c r="A64">
        <f>'Mesários'!A64</f>
        <v/>
      </c>
      <c r="B64">
        <f>'Mesários'!C64</f>
        <v/>
      </c>
      <c r="C64">
        <f>'Mesários'!I64</f>
        <v/>
      </c>
    </row>
    <row r="65">
      <c r="A65">
        <f>'Mesários'!A65</f>
        <v/>
      </c>
      <c r="B65">
        <f>'Mesários'!C65</f>
        <v/>
      </c>
      <c r="C65">
        <f>'Mesários'!I65</f>
        <v/>
      </c>
    </row>
    <row r="66">
      <c r="A66">
        <f>'Mesários'!A66</f>
        <v/>
      </c>
      <c r="B66">
        <f>'Mesários'!C66</f>
        <v/>
      </c>
      <c r="C66">
        <f>'Mesários'!I66</f>
        <v/>
      </c>
    </row>
    <row r="67">
      <c r="A67">
        <f>'Mesários'!A67</f>
        <v/>
      </c>
      <c r="B67">
        <f>'Mesários'!C67</f>
        <v/>
      </c>
      <c r="C67">
        <f>'Mesários'!I67</f>
        <v/>
      </c>
    </row>
    <row r="68">
      <c r="A68">
        <f>'Mesários'!A68</f>
        <v/>
      </c>
      <c r="B68">
        <f>'Mesários'!C68</f>
        <v/>
      </c>
      <c r="C68">
        <f>'Mesários'!I68</f>
        <v/>
      </c>
    </row>
    <row r="69">
      <c r="A69">
        <f>'Mesários'!A69</f>
        <v/>
      </c>
      <c r="B69">
        <f>'Mesários'!C69</f>
        <v/>
      </c>
      <c r="C69">
        <f>'Mesários'!I69</f>
        <v/>
      </c>
    </row>
    <row r="70">
      <c r="A70">
        <f>'Mesários'!A70</f>
        <v/>
      </c>
      <c r="B70">
        <f>'Mesários'!C70</f>
        <v/>
      </c>
      <c r="C70">
        <f>'Mesários'!I70</f>
        <v/>
      </c>
    </row>
    <row r="71">
      <c r="A71">
        <f>'Mesários'!A71</f>
        <v/>
      </c>
      <c r="B71">
        <f>'Mesários'!C71</f>
        <v/>
      </c>
      <c r="C71">
        <f>'Mesários'!I71</f>
        <v/>
      </c>
    </row>
    <row r="72">
      <c r="A72">
        <f>'Mesários'!A72</f>
        <v/>
      </c>
      <c r="B72">
        <f>'Mesários'!C72</f>
        <v/>
      </c>
      <c r="C72">
        <f>'Mesários'!I72</f>
        <v/>
      </c>
    </row>
    <row r="73">
      <c r="A73">
        <f>'Mesários'!A73</f>
        <v/>
      </c>
      <c r="B73">
        <f>'Mesários'!C73</f>
        <v/>
      </c>
      <c r="C73">
        <f>'Mesários'!I73</f>
        <v/>
      </c>
    </row>
    <row r="74">
      <c r="A74">
        <f>'Mesários'!A74</f>
        <v/>
      </c>
      <c r="B74">
        <f>'Mesários'!C74</f>
        <v/>
      </c>
      <c r="C74">
        <f>'Mesários'!I74</f>
        <v/>
      </c>
    </row>
    <row r="75">
      <c r="A75">
        <f>'Mesários'!A75</f>
        <v/>
      </c>
      <c r="B75">
        <f>'Mesários'!C75</f>
        <v/>
      </c>
      <c r="C75">
        <f>'Mesários'!I75</f>
        <v/>
      </c>
    </row>
    <row r="76">
      <c r="A76">
        <f>'Mesários'!A76</f>
        <v/>
      </c>
      <c r="B76">
        <f>'Mesários'!C76</f>
        <v/>
      </c>
      <c r="C76">
        <f>'Mesários'!I76</f>
        <v/>
      </c>
    </row>
    <row r="77">
      <c r="A77">
        <f>'Mesários'!A77</f>
        <v/>
      </c>
      <c r="B77">
        <f>'Mesários'!C77</f>
        <v/>
      </c>
      <c r="C77">
        <f>'Mesários'!I77</f>
        <v/>
      </c>
    </row>
    <row r="78">
      <c r="A78">
        <f>'Mesários'!A78</f>
        <v/>
      </c>
      <c r="B78">
        <f>'Mesários'!C78</f>
        <v/>
      </c>
      <c r="C78">
        <f>'Mesários'!I78</f>
        <v/>
      </c>
    </row>
    <row r="79">
      <c r="A79">
        <f>'Mesários'!A79</f>
        <v/>
      </c>
      <c r="B79">
        <f>'Mesários'!C79</f>
        <v/>
      </c>
      <c r="C79">
        <f>'Mesários'!I79</f>
        <v/>
      </c>
    </row>
    <row r="80">
      <c r="A80">
        <f>'Mesários'!A80</f>
        <v/>
      </c>
      <c r="B80">
        <f>'Mesários'!C80</f>
        <v/>
      </c>
      <c r="C80">
        <f>'Mesários'!I80</f>
        <v/>
      </c>
    </row>
    <row r="81">
      <c r="A81">
        <f>'Mesários'!A81</f>
        <v/>
      </c>
      <c r="B81">
        <f>'Mesários'!C81</f>
        <v/>
      </c>
      <c r="C81">
        <f>'Mesários'!I81</f>
        <v/>
      </c>
    </row>
    <row r="82">
      <c r="A82">
        <f>'Mesários'!A82</f>
        <v/>
      </c>
      <c r="B82">
        <f>'Mesários'!C82</f>
        <v/>
      </c>
      <c r="C82">
        <f>'Mesários'!I82</f>
        <v/>
      </c>
    </row>
    <row r="83">
      <c r="A83">
        <f>'Mesários'!A83</f>
        <v/>
      </c>
      <c r="B83">
        <f>'Mesários'!C83</f>
        <v/>
      </c>
      <c r="C83">
        <f>'Mesários'!I83</f>
        <v/>
      </c>
    </row>
    <row r="84">
      <c r="A84">
        <f>'Mesários'!A84</f>
        <v/>
      </c>
      <c r="B84">
        <f>'Mesários'!C84</f>
        <v/>
      </c>
      <c r="C84">
        <f>'Mesários'!I84</f>
        <v/>
      </c>
    </row>
    <row r="85">
      <c r="A85">
        <f>'Mesários'!A85</f>
        <v/>
      </c>
      <c r="B85">
        <f>'Mesários'!C85</f>
        <v/>
      </c>
      <c r="C85">
        <f>'Mesários'!I85</f>
        <v/>
      </c>
    </row>
    <row r="86">
      <c r="A86">
        <f>'Mesários'!A86</f>
        <v/>
      </c>
      <c r="B86">
        <f>'Mesários'!C86</f>
        <v/>
      </c>
      <c r="C86">
        <f>'Mesários'!I86</f>
        <v/>
      </c>
    </row>
    <row r="87">
      <c r="A87">
        <f>'Mesários'!A87</f>
        <v/>
      </c>
      <c r="B87">
        <f>'Mesários'!C87</f>
        <v/>
      </c>
      <c r="C87">
        <f>'Mesários'!I87</f>
        <v/>
      </c>
    </row>
    <row r="88">
      <c r="A88">
        <f>'Mesários'!A88</f>
        <v/>
      </c>
      <c r="B88">
        <f>'Mesários'!C88</f>
        <v/>
      </c>
      <c r="C88">
        <f>'Mesários'!I88</f>
        <v/>
      </c>
    </row>
    <row r="89">
      <c r="A89">
        <f>'Mesários'!A89</f>
        <v/>
      </c>
      <c r="B89">
        <f>'Mesários'!C89</f>
        <v/>
      </c>
      <c r="C89">
        <f>'Mesários'!I89</f>
        <v/>
      </c>
    </row>
    <row r="90">
      <c r="A90">
        <f>'Mesários'!A90</f>
        <v/>
      </c>
      <c r="B90">
        <f>'Mesários'!C90</f>
        <v/>
      </c>
      <c r="C90">
        <f>'Mesários'!I90</f>
        <v/>
      </c>
    </row>
    <row r="91">
      <c r="A91">
        <f>'Mesários'!A91</f>
        <v/>
      </c>
      <c r="B91">
        <f>'Mesários'!C91</f>
        <v/>
      </c>
      <c r="C91">
        <f>'Mesários'!I91</f>
        <v/>
      </c>
    </row>
    <row r="92">
      <c r="A92">
        <f>'Mesários'!A92</f>
        <v/>
      </c>
      <c r="B92">
        <f>'Mesários'!C92</f>
        <v/>
      </c>
      <c r="C92">
        <f>'Mesários'!I92</f>
        <v/>
      </c>
    </row>
    <row r="93">
      <c r="A93">
        <f>'Mesários'!A93</f>
        <v/>
      </c>
      <c r="B93">
        <f>'Mesários'!C93</f>
        <v/>
      </c>
      <c r="C93">
        <f>'Mesários'!I93</f>
        <v/>
      </c>
    </row>
    <row r="94">
      <c r="A94">
        <f>'Mesários'!A94</f>
        <v/>
      </c>
      <c r="B94">
        <f>'Mesários'!C94</f>
        <v/>
      </c>
      <c r="C94">
        <f>'Mesários'!I94</f>
        <v/>
      </c>
    </row>
    <row r="95">
      <c r="A95">
        <f>'Mesários'!A95</f>
        <v/>
      </c>
      <c r="B95">
        <f>'Mesários'!C95</f>
        <v/>
      </c>
      <c r="C95">
        <f>'Mesários'!I95</f>
        <v/>
      </c>
    </row>
    <row r="96">
      <c r="A96">
        <f>'Mesários'!A96</f>
        <v/>
      </c>
      <c r="B96">
        <f>'Mesários'!C96</f>
        <v/>
      </c>
      <c r="C96">
        <f>'Mesários'!I96</f>
        <v/>
      </c>
    </row>
    <row r="97">
      <c r="A97">
        <f>'Mesários'!A97</f>
        <v/>
      </c>
      <c r="B97">
        <f>'Mesários'!C97</f>
        <v/>
      </c>
      <c r="C97">
        <f>'Mesários'!I97</f>
        <v/>
      </c>
    </row>
    <row r="98">
      <c r="A98">
        <f>'Mesários'!A98</f>
        <v/>
      </c>
      <c r="B98">
        <f>'Mesários'!C98</f>
        <v/>
      </c>
      <c r="C98">
        <f>'Mesários'!I98</f>
        <v/>
      </c>
    </row>
    <row r="99">
      <c r="A99">
        <f>'Mesários'!A99</f>
        <v/>
      </c>
      <c r="B99">
        <f>'Mesários'!C99</f>
        <v/>
      </c>
      <c r="C99">
        <f>'Mesários'!I99</f>
        <v/>
      </c>
    </row>
    <row r="100">
      <c r="A100">
        <f>'Mesários'!A100</f>
        <v/>
      </c>
      <c r="B100">
        <f>'Mesários'!C100</f>
        <v/>
      </c>
      <c r="C100">
        <f>'Mesários'!I100</f>
        <v/>
      </c>
    </row>
    <row r="101">
      <c r="A101">
        <f>'Mesários'!A101</f>
        <v/>
      </c>
      <c r="B101">
        <f>'Mesários'!C101</f>
        <v/>
      </c>
      <c r="C101">
        <f>'Mesários'!I101</f>
        <v/>
      </c>
    </row>
    <row r="102">
      <c r="A102">
        <f>'Mesários'!A102</f>
        <v/>
      </c>
      <c r="B102">
        <f>'Mesários'!C102</f>
        <v/>
      </c>
      <c r="C102">
        <f>'Mesários'!I102</f>
        <v/>
      </c>
    </row>
    <row r="103">
      <c r="A103">
        <f>'Mesários'!A103</f>
        <v/>
      </c>
      <c r="B103">
        <f>'Mesários'!C103</f>
        <v/>
      </c>
      <c r="C103">
        <f>'Mesários'!I103</f>
        <v/>
      </c>
    </row>
    <row r="104">
      <c r="A104">
        <f>'Mesários'!A104</f>
        <v/>
      </c>
      <c r="B104">
        <f>'Mesários'!C104</f>
        <v/>
      </c>
      <c r="C104">
        <f>'Mesários'!I104</f>
        <v/>
      </c>
    </row>
    <row r="105">
      <c r="A105">
        <f>'Mesários'!A105</f>
        <v/>
      </c>
      <c r="B105">
        <f>'Mesários'!C105</f>
        <v/>
      </c>
      <c r="C105">
        <f>'Mesários'!I105</f>
        <v/>
      </c>
    </row>
    <row r="106">
      <c r="A106">
        <f>'Mesários'!A106</f>
        <v/>
      </c>
      <c r="B106">
        <f>'Mesários'!C106</f>
        <v/>
      </c>
      <c r="C106">
        <f>'Mesários'!I106</f>
        <v/>
      </c>
    </row>
    <row r="107">
      <c r="A107">
        <f>'Mesários'!A107</f>
        <v/>
      </c>
      <c r="B107">
        <f>'Mesários'!C107</f>
        <v/>
      </c>
      <c r="C107">
        <f>'Mesários'!I107</f>
        <v/>
      </c>
    </row>
    <row r="108">
      <c r="A108">
        <f>'Mesários'!A108</f>
        <v/>
      </c>
      <c r="B108">
        <f>'Mesários'!C108</f>
        <v/>
      </c>
      <c r="C108">
        <f>'Mesários'!I108</f>
        <v/>
      </c>
    </row>
    <row r="109">
      <c r="A109">
        <f>'Mesários'!A109</f>
        <v/>
      </c>
      <c r="B109">
        <f>'Mesários'!C109</f>
        <v/>
      </c>
      <c r="C109">
        <f>'Mesários'!I109</f>
        <v/>
      </c>
    </row>
    <row r="110">
      <c r="A110">
        <f>'Mesários'!A110</f>
        <v/>
      </c>
      <c r="B110">
        <f>'Mesários'!C110</f>
        <v/>
      </c>
      <c r="C110">
        <f>'Mesários'!I110</f>
        <v/>
      </c>
    </row>
    <row r="111">
      <c r="A111">
        <f>'Mesários'!A111</f>
        <v/>
      </c>
      <c r="B111">
        <f>'Mesários'!C111</f>
        <v/>
      </c>
      <c r="C111">
        <f>'Mesários'!I111</f>
        <v/>
      </c>
    </row>
    <row r="112">
      <c r="A112">
        <f>'Mesários'!A112</f>
        <v/>
      </c>
      <c r="B112">
        <f>'Mesários'!C112</f>
        <v/>
      </c>
      <c r="C112">
        <f>'Mesários'!I112</f>
        <v/>
      </c>
    </row>
    <row r="113">
      <c r="A113">
        <f>'Mesários'!A113</f>
        <v/>
      </c>
      <c r="B113">
        <f>'Mesários'!C113</f>
        <v/>
      </c>
      <c r="C113">
        <f>'Mesários'!I113</f>
        <v/>
      </c>
    </row>
  </sheetData>
  <autoFilter ref="A1:C113"/>
  <conditionalFormatting sqref="A2:C113">
    <cfRule type="expression" priority="1" dxfId="0">
      <formula>$C2="Deve comparecer"</formula>
    </cfRule>
    <cfRule type="expression" priority="2" dxfId="1">
      <formula>$C2="Confirmar"</formula>
    </cfRule>
    <cfRule type="expression" priority="3" dxfId="2">
      <formula>$C2="Não deve comparecer"</formula>
    </cfRule>
    <cfRule type="expression" priority="4" dxfId="3">
      <formula>$C2="Vago"</formula>
    </cfRule>
  </conditionalFormatting>
  <conditionalFormatting sqref="E2:F5">
    <cfRule type="expression" priority="5" dxfId="0">
      <formula>$E2="Deve comparecer"</formula>
    </cfRule>
    <cfRule type="expression" priority="6" dxfId="1">
      <formula>$E2="Confirmar"</formula>
    </cfRule>
    <cfRule type="expression" priority="7" dxfId="2">
      <formula>$E2="Não deve comparecer"</formula>
    </cfRule>
    <cfRule type="expression" priority="8" dxfId="3">
      <formula>$E2="Vago"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5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3" customWidth="1" min="2" max="2"/>
    <col width="40" customWidth="1" min="3" max="3"/>
    <col width="34" customWidth="1" min="4" max="4"/>
    <col width="15" customWidth="1" min="5" max="5"/>
    <col width="11" customWidth="1" min="6" max="6"/>
    <col width="11" customWidth="1" min="7" max="7"/>
    <col width="14" customWidth="1" min="8" max="8"/>
    <col width="20" customWidth="1" min="9" max="9"/>
    <col width="9" customWidth="1" min="10" max="10"/>
  </cols>
  <sheetData>
    <row r="1" ht="30" customHeight="1">
      <c r="A1" s="1" t="inlineStr">
        <is>
          <t>Seção</t>
        </is>
      </c>
      <c r="B1" s="1" t="inlineStr">
        <is>
          <t>Função</t>
        </is>
      </c>
      <c r="C1" s="1" t="inlineStr">
        <is>
          <t>Nome</t>
        </is>
      </c>
      <c r="D1" s="1" t="inlineStr">
        <is>
          <t>E-mail</t>
        </is>
      </c>
      <c r="E1" s="1" t="inlineStr">
        <is>
          <t>Título de eleitor</t>
        </is>
      </c>
      <c r="F1" s="1" t="inlineStr">
        <is>
          <t>Presença 1º turno</t>
        </is>
      </c>
      <c r="G1" s="1" t="inlineStr">
        <is>
          <t>Resposta 2º turno</t>
        </is>
      </c>
      <c r="H1" s="1" t="inlineStr">
        <is>
          <t>ID no formulário</t>
        </is>
      </c>
      <c r="I1" s="1" t="inlineStr">
        <is>
          <t>Expectativa</t>
        </is>
      </c>
      <c r="J1" s="1" t="inlineStr">
        <is>
          <t>Ordem (auxiliar)</t>
        </is>
      </c>
    </row>
    <row r="2">
      <c r="A2" t="n">
        <v>511</v>
      </c>
      <c r="B2" t="inlineStr">
        <is>
          <t>Presidente</t>
        </is>
      </c>
      <c r="C2" t="inlineStr">
        <is>
          <t>FELIPE PEREIRA DE SOUZA GUSTAVO</t>
        </is>
      </c>
      <c r="D2" t="inlineStr">
        <is>
          <t>Felipegustavo.ie@outlook.com</t>
        </is>
      </c>
      <c r="E2" s="3" t="inlineStr">
        <is>
          <t>221940340213</t>
        </is>
      </c>
      <c r="F2" t="inlineStr">
        <is>
          <t>SIM</t>
        </is>
      </c>
      <c r="I2">
        <f>IF(G2="SIM","Deve comparecer",IF(G2="NÃO","Não deve comparecer",IF(F2="SIM","Confirmar","Não deve comparecer")))</f>
        <v/>
      </c>
      <c r="J2" s="4">
        <f>IF(I2="Deve comparecer","",MATCH(A2,'Por seção'!$A$2:$A$29,0)*10+1)</f>
        <v/>
      </c>
    </row>
    <row r="3">
      <c r="A3" t="n">
        <v>511</v>
      </c>
      <c r="B3" t="inlineStr">
        <is>
          <t>1º Mesário</t>
        </is>
      </c>
      <c r="C3" t="inlineStr">
        <is>
          <t>ERIC DA SILVA MEDEIROS</t>
        </is>
      </c>
      <c r="D3" t="inlineStr">
        <is>
          <t>Ericcount19@hotmail.com</t>
        </is>
      </c>
      <c r="E3" s="3" t="inlineStr">
        <is>
          <t>087303060701</t>
        </is>
      </c>
      <c r="F3" t="inlineStr">
        <is>
          <t>SIM</t>
        </is>
      </c>
      <c r="I3">
        <f>IF(G3="SIM","Deve comparecer",IF(G3="NÃO","Não deve comparecer",IF(F3="SIM","Confirmar","Não deve comparecer")))</f>
        <v/>
      </c>
      <c r="J3" s="4">
        <f>IF(I3="Deve comparecer","",MATCH(A3,'Por seção'!$A$2:$A$29,0)*10+2)</f>
        <v/>
      </c>
    </row>
    <row r="4">
      <c r="A4" t="n">
        <v>511</v>
      </c>
      <c r="B4" t="inlineStr">
        <is>
          <t>2º Mesário</t>
        </is>
      </c>
      <c r="C4" t="inlineStr">
        <is>
          <t>LUDMILA MAIA MACIEL</t>
        </is>
      </c>
      <c r="D4" t="inlineStr">
        <is>
          <t>ludmilamaiamaciel@gmail.com</t>
        </is>
      </c>
      <c r="E4" s="3" t="inlineStr">
        <is>
          <t>175842820256</t>
        </is>
      </c>
      <c r="F4" t="inlineStr">
        <is>
          <t>SIM</t>
        </is>
      </c>
      <c r="I4">
        <f>IF(G4="SIM","Deve comparecer",IF(G4="NÃO","Não deve comparecer",IF(F4="SIM","Confirmar","Não deve comparecer")))</f>
        <v/>
      </c>
      <c r="J4" s="4">
        <f>IF(I4="Deve comparecer","",MATCH(A4,'Por seção'!$A$2:$A$29,0)*10+4)</f>
        <v/>
      </c>
    </row>
    <row r="5">
      <c r="A5" t="n">
        <v>511</v>
      </c>
      <c r="B5" t="inlineStr">
        <is>
          <t>1º Secretário</t>
        </is>
      </c>
      <c r="C5" t="inlineStr">
        <is>
          <t>BEATRIZ CARACANHA BERTOCCO</t>
        </is>
      </c>
      <c r="D5" t="inlineStr">
        <is>
          <t>beabertocco@gmail.com</t>
        </is>
      </c>
      <c r="E5" s="3" t="inlineStr">
        <is>
          <t>087118000698</t>
        </is>
      </c>
      <c r="F5" t="inlineStr">
        <is>
          <t>SIM</t>
        </is>
      </c>
      <c r="G5" t="inlineStr">
        <is>
          <t>SIM</t>
        </is>
      </c>
      <c r="H5" t="inlineStr">
        <is>
          <t>29</t>
        </is>
      </c>
      <c r="I5">
        <f>IF(G5="SIM","Deve comparecer",IF(G5="NÃO","Não deve comparecer",IF(F5="SIM","Confirmar","Não deve comparecer")))</f>
        <v/>
      </c>
      <c r="J5" s="4">
        <f>IF(I5="Deve comparecer","",MATCH(A5,'Por seção'!$A$2:$A$29,0)*10+3)</f>
        <v/>
      </c>
    </row>
    <row r="6">
      <c r="A6" t="n">
        <v>512</v>
      </c>
      <c r="B6" t="inlineStr">
        <is>
          <t>Presidente</t>
        </is>
      </c>
      <c r="C6" t="inlineStr">
        <is>
          <t>ANA CLAUDIA MAZUROK</t>
        </is>
      </c>
      <c r="D6" t="inlineStr">
        <is>
          <t>anaclaudiamazurok@gmail.com</t>
        </is>
      </c>
      <c r="E6" s="3" t="inlineStr">
        <is>
          <t>017860252038</t>
        </is>
      </c>
      <c r="F6" t="inlineStr">
        <is>
          <t>NÃO</t>
        </is>
      </c>
      <c r="I6">
        <f>IF(G6="SIM","Deve comparecer",IF(G6="NÃO","Não deve comparecer",IF(F6="SIM","Confirmar","Não deve comparecer")))</f>
        <v/>
      </c>
      <c r="J6" s="4">
        <f>IF(I6="Deve comparecer","",MATCH(A6,'Por seção'!$A$2:$A$29,0)*10+1)</f>
        <v/>
      </c>
    </row>
    <row r="7">
      <c r="A7" t="n">
        <v>512</v>
      </c>
      <c r="B7" t="inlineStr">
        <is>
          <t>1º Mesário</t>
        </is>
      </c>
      <c r="C7" t="inlineStr">
        <is>
          <t>CAIO CESAR ROSSITER</t>
        </is>
      </c>
      <c r="D7" t="inlineStr">
        <is>
          <t>caiorossiter@gmail.com</t>
        </is>
      </c>
      <c r="E7" s="3" t="inlineStr">
        <is>
          <t>024563471619</t>
        </is>
      </c>
      <c r="F7" t="inlineStr">
        <is>
          <t>SIM</t>
        </is>
      </c>
      <c r="G7" t="inlineStr">
        <is>
          <t>SIM</t>
        </is>
      </c>
      <c r="H7" t="inlineStr">
        <is>
          <t>68, 69</t>
        </is>
      </c>
      <c r="I7">
        <f>IF(G7="SIM","Deve comparecer",IF(G7="NÃO","Não deve comparecer",IF(F7="SIM","Confirmar","Não deve comparecer")))</f>
        <v/>
      </c>
      <c r="J7" s="4">
        <f>IF(I7="Deve comparecer","",MATCH(A7,'Por seção'!$A$2:$A$29,0)*10+2)</f>
        <v/>
      </c>
    </row>
    <row r="8">
      <c r="A8" t="n">
        <v>512</v>
      </c>
      <c r="B8" t="inlineStr">
        <is>
          <t>2º Mesário</t>
        </is>
      </c>
      <c r="C8" t="inlineStr">
        <is>
          <t>CAMILA MOURA MARTINS</t>
        </is>
      </c>
      <c r="D8" t="inlineStr">
        <is>
          <t>camilamouramartins1987@gmail.com</t>
        </is>
      </c>
      <c r="E8" s="3" t="inlineStr">
        <is>
          <t>339405340116</t>
        </is>
      </c>
      <c r="F8" t="inlineStr">
        <is>
          <t>SIM</t>
        </is>
      </c>
      <c r="G8" t="inlineStr">
        <is>
          <t>SIM</t>
        </is>
      </c>
      <c r="H8" t="inlineStr">
        <is>
          <t>19</t>
        </is>
      </c>
      <c r="I8">
        <f>IF(G8="SIM","Deve comparecer",IF(G8="NÃO","Não deve comparecer",IF(F8="SIM","Confirmar","Não deve comparecer")))</f>
        <v/>
      </c>
      <c r="J8" s="4">
        <f>IF(I8="Deve comparecer","",MATCH(A8,'Por seção'!$A$2:$A$29,0)*10+4)</f>
        <v/>
      </c>
    </row>
    <row r="9">
      <c r="A9" t="n">
        <v>512</v>
      </c>
      <c r="B9" t="inlineStr">
        <is>
          <t>1º Secretário</t>
        </is>
      </c>
      <c r="C9" t="inlineStr">
        <is>
          <t>THAISA BERNARDES BUENO FELIX</t>
        </is>
      </c>
      <c r="D9" t="inlineStr">
        <is>
          <t>tbbfelix@gmail.com</t>
        </is>
      </c>
      <c r="E9" s="3" t="inlineStr">
        <is>
          <t>437733520116</t>
        </is>
      </c>
      <c r="F9" t="inlineStr">
        <is>
          <t>NÃO</t>
        </is>
      </c>
      <c r="I9">
        <f>IF(G9="SIM","Deve comparecer",IF(G9="NÃO","Não deve comparecer",IF(F9="SIM","Confirmar","Não deve comparecer")))</f>
        <v/>
      </c>
      <c r="J9" s="4">
        <f>IF(I9="Deve comparecer","",MATCH(A9,'Por seção'!$A$2:$A$29,0)*10+3)</f>
        <v/>
      </c>
    </row>
    <row r="10">
      <c r="A10" t="n">
        <v>513</v>
      </c>
      <c r="B10" t="inlineStr">
        <is>
          <t>Presidente</t>
        </is>
      </c>
      <c r="C10" t="inlineStr">
        <is>
          <t>BIANCA ARAGONE RODRIGUES GOULART</t>
        </is>
      </c>
      <c r="D10" t="inlineStr">
        <is>
          <t>bianca.goulart@itamaraty.gov.br</t>
        </is>
      </c>
      <c r="E10" s="3" t="inlineStr">
        <is>
          <t>354520980191</t>
        </is>
      </c>
      <c r="F10" t="inlineStr">
        <is>
          <t>NÃO</t>
        </is>
      </c>
      <c r="I10">
        <f>IF(G10="SIM","Deve comparecer",IF(G10="NÃO","Não deve comparecer",IF(F10="SIM","Confirmar","Não deve comparecer")))</f>
        <v/>
      </c>
      <c r="J10" s="4">
        <f>IF(I10="Deve comparecer","",MATCH(A10,'Por seção'!$A$2:$A$29,0)*10+1)</f>
        <v/>
      </c>
    </row>
    <row r="11">
      <c r="A11" t="n">
        <v>513</v>
      </c>
      <c r="B11" t="inlineStr">
        <is>
          <t>1º Mesário</t>
        </is>
      </c>
      <c r="C11" t="inlineStr">
        <is>
          <t>LUIZ HENRIQUE DE SOUSA SMANIA</t>
        </is>
      </c>
      <c r="D11" t="inlineStr">
        <is>
          <t>Luizsmania1@gmail.com</t>
        </is>
      </c>
      <c r="E11" s="3" t="inlineStr">
        <is>
          <t>459992490108</t>
        </is>
      </c>
      <c r="F11" t="inlineStr">
        <is>
          <t>SIM</t>
        </is>
      </c>
      <c r="G11" t="inlineStr">
        <is>
          <t>SIM</t>
        </is>
      </c>
      <c r="H11" t="inlineStr">
        <is>
          <t>51</t>
        </is>
      </c>
      <c r="I11">
        <f>IF(G11="SIM","Deve comparecer",IF(G11="NÃO","Não deve comparecer",IF(F11="SIM","Confirmar","Não deve comparecer")))</f>
        <v/>
      </c>
      <c r="J11" s="4">
        <f>IF(I11="Deve comparecer","",MATCH(A11,'Por seção'!$A$2:$A$29,0)*10+2)</f>
        <v/>
      </c>
    </row>
    <row r="12">
      <c r="A12" t="n">
        <v>513</v>
      </c>
      <c r="B12" t="inlineStr">
        <is>
          <t>2º Mesário</t>
        </is>
      </c>
      <c r="C12" t="inlineStr">
        <is>
          <t>ISABELA FERNANDES BATTISTI PETRIS</t>
        </is>
      </c>
      <c r="D12" t="inlineStr">
        <is>
          <t>isabelabattisti@gmail.com</t>
        </is>
      </c>
      <c r="E12" s="3" t="inlineStr">
        <is>
          <t>467362570124</t>
        </is>
      </c>
      <c r="F12" t="inlineStr">
        <is>
          <t>SIM</t>
        </is>
      </c>
      <c r="I12">
        <f>IF(G12="SIM","Deve comparecer",IF(G12="NÃO","Não deve comparecer",IF(F12="SIM","Confirmar","Não deve comparecer")))</f>
        <v/>
      </c>
      <c r="J12" s="4">
        <f>IF(I12="Deve comparecer","",MATCH(A12,'Por seção'!$A$2:$A$29,0)*10+4)</f>
        <v/>
      </c>
    </row>
    <row r="13">
      <c r="A13" t="n">
        <v>513</v>
      </c>
      <c r="B13" t="inlineStr">
        <is>
          <t>1º Secretário</t>
        </is>
      </c>
      <c r="C13" t="inlineStr">
        <is>
          <t>ALINE BARROS DE LIRA</t>
        </is>
      </c>
      <c r="D13" t="inlineStr">
        <is>
          <t>aline.barros@outlook.com</t>
        </is>
      </c>
      <c r="E13" s="3" t="inlineStr">
        <is>
          <t>270991160167</t>
        </is>
      </c>
      <c r="F13" t="inlineStr">
        <is>
          <t>NÃO</t>
        </is>
      </c>
      <c r="I13">
        <f>IF(G13="SIM","Deve comparecer",IF(G13="NÃO","Não deve comparecer",IF(F13="SIM","Confirmar","Não deve comparecer")))</f>
        <v/>
      </c>
      <c r="J13" s="4">
        <f>IF(I13="Deve comparecer","",MATCH(A13,'Por seção'!$A$2:$A$29,0)*10+3)</f>
        <v/>
      </c>
    </row>
    <row r="14">
      <c r="A14" t="n">
        <v>517</v>
      </c>
      <c r="B14" t="inlineStr">
        <is>
          <t>Presidente</t>
        </is>
      </c>
      <c r="C14" t="inlineStr">
        <is>
          <t>DAIANE LEAL GOMES</t>
        </is>
      </c>
      <c r="D14" t="inlineStr">
        <is>
          <t>DAIANELEALG@GMAIL.COM</t>
        </is>
      </c>
      <c r="E14" s="3" t="inlineStr">
        <is>
          <t>175857340221</t>
        </is>
      </c>
      <c r="F14" t="inlineStr">
        <is>
          <t>SIM</t>
        </is>
      </c>
      <c r="G14" t="inlineStr">
        <is>
          <t>SIM</t>
        </is>
      </c>
      <c r="H14" t="inlineStr">
        <is>
          <t>30, 35</t>
        </is>
      </c>
      <c r="I14">
        <f>IF(G14="SIM","Deve comparecer",IF(G14="NÃO","Não deve comparecer",IF(F14="SIM","Confirmar","Não deve comparecer")))</f>
        <v/>
      </c>
      <c r="J14" s="4">
        <f>IF(I14="Deve comparecer","",MATCH(A14,'Por seção'!$A$2:$A$29,0)*10+1)</f>
        <v/>
      </c>
    </row>
    <row r="15">
      <c r="A15" t="n">
        <v>517</v>
      </c>
      <c r="B15" t="inlineStr">
        <is>
          <t>1º Mesário</t>
        </is>
      </c>
      <c r="C15" t="inlineStr">
        <is>
          <t>CINTHIA RODRIGUES DE ALMEIDA</t>
        </is>
      </c>
      <c r="D15" t="inlineStr">
        <is>
          <t>cinthia_ralmeida2@hotmail.com</t>
        </is>
      </c>
      <c r="E15" s="3" t="inlineStr">
        <is>
          <t>354752050175</t>
        </is>
      </c>
      <c r="F15" t="inlineStr">
        <is>
          <t>SIM</t>
        </is>
      </c>
      <c r="G15" t="inlineStr">
        <is>
          <t>SIM</t>
        </is>
      </c>
      <c r="H15" t="inlineStr">
        <is>
          <t>74</t>
        </is>
      </c>
      <c r="I15">
        <f>IF(G15="SIM","Deve comparecer",IF(G15="NÃO","Não deve comparecer",IF(F15="SIM","Confirmar","Não deve comparecer")))</f>
        <v/>
      </c>
      <c r="J15" s="4">
        <f>IF(I15="Deve comparecer","",MATCH(A15,'Por seção'!$A$2:$A$29,0)*10+2)</f>
        <v/>
      </c>
    </row>
    <row r="16">
      <c r="A16" t="n">
        <v>517</v>
      </c>
      <c r="B16" t="inlineStr">
        <is>
          <t>2º Mesário</t>
        </is>
      </c>
      <c r="C16" t="inlineStr">
        <is>
          <t>RAFAEL DRUMMOND RODRIGUES</t>
        </is>
      </c>
      <c r="D16" t="inlineStr">
        <is>
          <t xml:space="preserve">rafaelrodrigues2011@gmail.com </t>
        </is>
      </c>
      <c r="E16" s="3" t="inlineStr">
        <is>
          <t>196716430281</t>
        </is>
      </c>
      <c r="F16" t="inlineStr">
        <is>
          <t>SIM</t>
        </is>
      </c>
      <c r="G16" t="inlineStr">
        <is>
          <t>SIM</t>
        </is>
      </c>
      <c r="H16" t="inlineStr">
        <is>
          <t>52</t>
        </is>
      </c>
      <c r="I16">
        <f>IF(G16="SIM","Deve comparecer",IF(G16="NÃO","Não deve comparecer",IF(F16="SIM","Confirmar","Não deve comparecer")))</f>
        <v/>
      </c>
      <c r="J16" s="4">
        <f>IF(I16="Deve comparecer","",MATCH(A16,'Por seção'!$A$2:$A$29,0)*10+4)</f>
        <v/>
      </c>
    </row>
    <row r="17">
      <c r="A17" t="n">
        <v>517</v>
      </c>
      <c r="B17" t="inlineStr">
        <is>
          <t>1º Secretário</t>
        </is>
      </c>
      <c r="C17" t="inlineStr">
        <is>
          <t>MARIANA MACIEL DOS SANTOS SOUZA</t>
        </is>
      </c>
      <c r="D17" t="inlineStr">
        <is>
          <t>tucanamariana@gmail.com</t>
        </is>
      </c>
      <c r="E17" s="3" t="inlineStr">
        <is>
          <t>154661270299</t>
        </is>
      </c>
      <c r="F17" t="inlineStr">
        <is>
          <t>SIM</t>
        </is>
      </c>
      <c r="G17" t="inlineStr">
        <is>
          <t>SIM</t>
        </is>
      </c>
      <c r="H17" t="inlineStr">
        <is>
          <t>15</t>
        </is>
      </c>
      <c r="I17">
        <f>IF(G17="SIM","Deve comparecer",IF(G17="NÃO","Não deve comparecer",IF(F17="SIM","Confirmar","Não deve comparecer")))</f>
        <v/>
      </c>
      <c r="J17" s="4">
        <f>IF(I17="Deve comparecer","",MATCH(A17,'Por seção'!$A$2:$A$29,0)*10+3)</f>
        <v/>
      </c>
    </row>
    <row r="18">
      <c r="A18" t="n">
        <v>1160</v>
      </c>
      <c r="B18" t="inlineStr">
        <is>
          <t>Presidente</t>
        </is>
      </c>
      <c r="C18" t="inlineStr">
        <is>
          <t>PAMELA NASCIMENTO DA SILVA</t>
        </is>
      </c>
      <c r="D18" t="inlineStr">
        <is>
          <t>pamela.silva@itamaraty.gov.br</t>
        </is>
      </c>
      <c r="E18" s="3" t="inlineStr">
        <is>
          <t>150286960310</t>
        </is>
      </c>
      <c r="F18" t="inlineStr">
        <is>
          <t>SIM</t>
        </is>
      </c>
      <c r="I18">
        <f>IF(G18="SIM","Deve comparecer",IF(G18="NÃO","Não deve comparecer",IF(F18="SIM","Confirmar","Não deve comparecer")))</f>
        <v/>
      </c>
      <c r="J18" s="4">
        <f>IF(I18="Deve comparecer","",MATCH(A18,'Por seção'!$A$2:$A$29,0)*10+1)</f>
        <v/>
      </c>
    </row>
    <row r="19">
      <c r="A19" t="n">
        <v>1160</v>
      </c>
      <c r="B19" t="inlineStr">
        <is>
          <t>1º Mesário</t>
        </is>
      </c>
      <c r="C19" t="inlineStr">
        <is>
          <t>ARTHUR GRIZ FERREIRA</t>
        </is>
      </c>
      <c r="D19" t="inlineStr">
        <is>
          <t>arthurgf96@gmail.com</t>
        </is>
      </c>
      <c r="E19" s="3" t="inlineStr">
        <is>
          <t>092144330809</t>
        </is>
      </c>
      <c r="F19" t="inlineStr">
        <is>
          <t>SIM</t>
        </is>
      </c>
      <c r="I19">
        <f>IF(G19="SIM","Deve comparecer",IF(G19="NÃO","Não deve comparecer",IF(F19="SIM","Confirmar","Não deve comparecer")))</f>
        <v/>
      </c>
      <c r="J19" s="4">
        <f>IF(I19="Deve comparecer","",MATCH(A19,'Por seção'!$A$2:$A$29,0)*10+2)</f>
        <v/>
      </c>
    </row>
    <row r="20">
      <c r="A20" t="n">
        <v>1160</v>
      </c>
      <c r="B20" t="inlineStr">
        <is>
          <t>2º Mesário</t>
        </is>
      </c>
      <c r="C20" t="inlineStr">
        <is>
          <t>CRISLAINE DE SOUZA ALMEIDA</t>
        </is>
      </c>
      <c r="D20" t="inlineStr">
        <is>
          <t>crislainedealmeida@hotmail.com</t>
        </is>
      </c>
      <c r="E20" s="3" t="inlineStr">
        <is>
          <t>409193130159</t>
        </is>
      </c>
      <c r="F20" t="inlineStr">
        <is>
          <t>SIM</t>
        </is>
      </c>
      <c r="G20" t="inlineStr">
        <is>
          <t>NÃO</t>
        </is>
      </c>
      <c r="H20" t="inlineStr">
        <is>
          <t>60</t>
        </is>
      </c>
      <c r="I20">
        <f>IF(G20="SIM","Deve comparecer",IF(G20="NÃO","Não deve comparecer",IF(F20="SIM","Confirmar","Não deve comparecer")))</f>
        <v/>
      </c>
      <c r="J20" s="4">
        <f>IF(I20="Deve comparecer","",MATCH(A20,'Por seção'!$A$2:$A$29,0)*10+4)</f>
        <v/>
      </c>
    </row>
    <row r="21">
      <c r="A21" t="n">
        <v>1160</v>
      </c>
      <c r="B21" t="inlineStr">
        <is>
          <t>1º Secretário</t>
        </is>
      </c>
      <c r="C21" t="inlineStr">
        <is>
          <t>CINTIA DOS SANTOS</t>
        </is>
      </c>
      <c r="D21" t="inlineStr">
        <is>
          <t>cintiadosantos4@gmail.com</t>
        </is>
      </c>
      <c r="E21" s="3" t="inlineStr">
        <is>
          <t>228274860191</t>
        </is>
      </c>
      <c r="F21" t="inlineStr">
        <is>
          <t>SIM</t>
        </is>
      </c>
      <c r="G21" t="inlineStr">
        <is>
          <t>SIM</t>
        </is>
      </c>
      <c r="H21" t="inlineStr">
        <is>
          <t>57</t>
        </is>
      </c>
      <c r="I21">
        <f>IF(G21="SIM","Deve comparecer",IF(G21="NÃO","Não deve comparecer",IF(F21="SIM","Confirmar","Não deve comparecer")))</f>
        <v/>
      </c>
      <c r="J21" s="4">
        <f>IF(I21="Deve comparecer","",MATCH(A21,'Por seção'!$A$2:$A$29,0)*10+3)</f>
        <v/>
      </c>
    </row>
    <row r="22">
      <c r="A22" t="n">
        <v>1352</v>
      </c>
      <c r="B22" t="inlineStr">
        <is>
          <t>Presidente</t>
        </is>
      </c>
      <c r="C22" t="inlineStr">
        <is>
          <t>NAYARA GIROTO MENDES</t>
        </is>
      </c>
      <c r="D22" t="inlineStr">
        <is>
          <t>nayara.mendes@itamaraty.gov.br</t>
        </is>
      </c>
      <c r="E22" s="3" t="inlineStr">
        <is>
          <t>355815510167</t>
        </is>
      </c>
      <c r="F22" t="inlineStr">
        <is>
          <t>SIM</t>
        </is>
      </c>
      <c r="I22">
        <f>IF(G22="SIM","Deve comparecer",IF(G22="NÃO","Não deve comparecer",IF(F22="SIM","Confirmar","Não deve comparecer")))</f>
        <v/>
      </c>
      <c r="J22" s="4">
        <f>IF(I22="Deve comparecer","",MATCH(A22,'Por seção'!$A$2:$A$29,0)*10+1)</f>
        <v/>
      </c>
    </row>
    <row r="23">
      <c r="A23" t="n">
        <v>1352</v>
      </c>
      <c r="B23" t="inlineStr">
        <is>
          <t>1º Mesário</t>
        </is>
      </c>
      <c r="C23" t="inlineStr">
        <is>
          <t>JESSICA DE OLIVEIRA</t>
        </is>
      </c>
      <c r="D23" t="inlineStr">
        <is>
          <t>jessicaoliveira9316@gmail.com</t>
        </is>
      </c>
      <c r="E23" s="3" t="inlineStr">
        <is>
          <t>106070350450</t>
        </is>
      </c>
      <c r="F23" t="inlineStr">
        <is>
          <t>SIM</t>
        </is>
      </c>
      <c r="G23" t="inlineStr">
        <is>
          <t>SIM</t>
        </is>
      </c>
      <c r="H23" t="inlineStr">
        <is>
          <t>2</t>
        </is>
      </c>
      <c r="I23">
        <f>IF(G23="SIM","Deve comparecer",IF(G23="NÃO","Não deve comparecer",IF(F23="SIM","Confirmar","Não deve comparecer")))</f>
        <v/>
      </c>
      <c r="J23" s="4">
        <f>IF(I23="Deve comparecer","",MATCH(A23,'Por seção'!$A$2:$A$29,0)*10+2)</f>
        <v/>
      </c>
    </row>
    <row r="24">
      <c r="A24" t="n">
        <v>1352</v>
      </c>
      <c r="B24" t="inlineStr">
        <is>
          <t>2º Mesário</t>
        </is>
      </c>
      <c r="C24" t="inlineStr">
        <is>
          <t>ANA PAULA DA SILVA ELIAS</t>
        </is>
      </c>
      <c r="D24" t="inlineStr">
        <is>
          <t>ana.spelias@gmail.com</t>
        </is>
      </c>
      <c r="E24" s="3" t="inlineStr">
        <is>
          <t>407856270175</t>
        </is>
      </c>
      <c r="F24" t="inlineStr">
        <is>
          <t>SIM</t>
        </is>
      </c>
      <c r="G24" t="inlineStr">
        <is>
          <t>SIM</t>
        </is>
      </c>
      <c r="H24" t="inlineStr">
        <is>
          <t>14</t>
        </is>
      </c>
      <c r="I24">
        <f>IF(G24="SIM","Deve comparecer",IF(G24="NÃO","Não deve comparecer",IF(F24="SIM","Confirmar","Não deve comparecer")))</f>
        <v/>
      </c>
      <c r="J24" s="4">
        <f>IF(I24="Deve comparecer","",MATCH(A24,'Por seção'!$A$2:$A$29,0)*10+4)</f>
        <v/>
      </c>
    </row>
    <row r="25">
      <c r="A25" t="n">
        <v>1352</v>
      </c>
      <c r="B25" t="inlineStr">
        <is>
          <t>1º Secretário</t>
        </is>
      </c>
      <c r="C25" t="inlineStr">
        <is>
          <t>DENER AUGUSTO SALES MACHADO</t>
        </is>
      </c>
      <c r="D25" t="inlineStr">
        <is>
          <t>dener.asm@gmail.com</t>
        </is>
      </c>
      <c r="E25" s="3" t="inlineStr">
        <is>
          <t>109790750485</t>
        </is>
      </c>
      <c r="F25" t="inlineStr">
        <is>
          <t>SIM</t>
        </is>
      </c>
      <c r="G25" t="inlineStr">
        <is>
          <t>NÃO</t>
        </is>
      </c>
      <c r="H25" t="inlineStr">
        <is>
          <t>54</t>
        </is>
      </c>
      <c r="I25">
        <f>IF(G25="SIM","Deve comparecer",IF(G25="NÃO","Não deve comparecer",IF(F25="SIM","Confirmar","Não deve comparecer")))</f>
        <v/>
      </c>
      <c r="J25" s="4">
        <f>IF(I25="Deve comparecer","",MATCH(A25,'Por seção'!$A$2:$A$29,0)*10+3)</f>
        <v/>
      </c>
    </row>
    <row r="26">
      <c r="A26" t="n">
        <v>3054</v>
      </c>
      <c r="B26" t="inlineStr">
        <is>
          <t>Presidente</t>
        </is>
      </c>
      <c r="C26" t="inlineStr">
        <is>
          <t>FABIOLA CRISTIANE DA SILVA MALTA</t>
        </is>
      </c>
      <c r="D26" t="inlineStr">
        <is>
          <t>fabiola.malta@itamaraty.gov.br</t>
        </is>
      </c>
      <c r="E26" s="3" t="inlineStr">
        <is>
          <t>006435662011</t>
        </is>
      </c>
      <c r="F26" t="inlineStr">
        <is>
          <t>SIM</t>
        </is>
      </c>
      <c r="I26">
        <f>IF(G26="SIM","Deve comparecer",IF(G26="NÃO","Não deve comparecer",IF(F26="SIM","Confirmar","Não deve comparecer")))</f>
        <v/>
      </c>
      <c r="J26" s="4">
        <f>IF(I26="Deve comparecer","",MATCH(A26,'Por seção'!$A$2:$A$29,0)*10+1)</f>
        <v/>
      </c>
    </row>
    <row r="27">
      <c r="A27" t="n">
        <v>3054</v>
      </c>
      <c r="B27" t="inlineStr">
        <is>
          <t>1º Mesário</t>
        </is>
      </c>
      <c r="C27" t="inlineStr">
        <is>
          <t>WELLINGTON DOS SANTOS</t>
        </is>
      </c>
      <c r="D27" t="inlineStr">
        <is>
          <t>wellingtons24.santos@gmail.com</t>
        </is>
      </c>
      <c r="E27" s="3" t="inlineStr">
        <is>
          <t>426020000167</t>
        </is>
      </c>
      <c r="F27" t="inlineStr">
        <is>
          <t>SIM</t>
        </is>
      </c>
      <c r="G27" t="inlineStr">
        <is>
          <t>NÃO</t>
        </is>
      </c>
      <c r="H27" t="inlineStr">
        <is>
          <t>64</t>
        </is>
      </c>
      <c r="I27">
        <f>IF(G27="SIM","Deve comparecer",IF(G27="NÃO","Não deve comparecer",IF(F27="SIM","Confirmar","Não deve comparecer")))</f>
        <v/>
      </c>
      <c r="J27" s="4">
        <f>IF(I27="Deve comparecer","",MATCH(A27,'Por seção'!$A$2:$A$29,0)*10+2)</f>
        <v/>
      </c>
    </row>
    <row r="28">
      <c r="A28" t="n">
        <v>3054</v>
      </c>
      <c r="B28" t="inlineStr">
        <is>
          <t>2º Mesário</t>
        </is>
      </c>
      <c r="C28" t="inlineStr">
        <is>
          <t>EDINEIA DE ALMEIDA GOMES</t>
        </is>
      </c>
      <c r="D28" t="inlineStr">
        <is>
          <t>almeidaedi@gmail.com</t>
        </is>
      </c>
      <c r="E28" s="3" t="inlineStr">
        <is>
          <t>266846740124</t>
        </is>
      </c>
      <c r="F28" t="inlineStr">
        <is>
          <t>NÃO</t>
        </is>
      </c>
      <c r="I28">
        <f>IF(G28="SIM","Deve comparecer",IF(G28="NÃO","Não deve comparecer",IF(F28="SIM","Confirmar","Não deve comparecer")))</f>
        <v/>
      </c>
      <c r="J28" s="4">
        <f>IF(I28="Deve comparecer","",MATCH(A28,'Por seção'!$A$2:$A$29,0)*10+4)</f>
        <v/>
      </c>
    </row>
    <row r="29">
      <c r="A29" t="n">
        <v>3054</v>
      </c>
      <c r="B29" t="inlineStr">
        <is>
          <t>1º Secretário</t>
        </is>
      </c>
      <c r="C29" t="inlineStr">
        <is>
          <t>GABRIEL SOARES DE CARVALHO</t>
        </is>
      </c>
      <c r="D29" t="inlineStr">
        <is>
          <t>gabrielsoares2111@gmail.com</t>
        </is>
      </c>
      <c r="E29" s="3" t="inlineStr">
        <is>
          <t>215721420205</t>
        </is>
      </c>
      <c r="F29" t="inlineStr">
        <is>
          <t>SIM</t>
        </is>
      </c>
      <c r="I29">
        <f>IF(G29="SIM","Deve comparecer",IF(G29="NÃO","Não deve comparecer",IF(F29="SIM","Confirmar","Não deve comparecer")))</f>
        <v/>
      </c>
      <c r="J29" s="4">
        <f>IF(I29="Deve comparecer","",MATCH(A29,'Por seção'!$A$2:$A$29,0)*10+3)</f>
        <v/>
      </c>
    </row>
    <row r="30">
      <c r="A30" t="n">
        <v>3078</v>
      </c>
      <c r="B30" t="inlineStr">
        <is>
          <t>Presidente</t>
        </is>
      </c>
      <c r="C30" t="inlineStr">
        <is>
          <t>TULIO CARLOS DE MOURA NEVES</t>
        </is>
      </c>
      <c r="D30" t="inlineStr">
        <is>
          <t>tulio.neves@itamaraty.gov.br</t>
        </is>
      </c>
      <c r="E30" s="3" t="inlineStr">
        <is>
          <t>000122531007</t>
        </is>
      </c>
      <c r="F30" t="inlineStr">
        <is>
          <t>SIM</t>
        </is>
      </c>
      <c r="I30">
        <f>IF(G30="SIM","Deve comparecer",IF(G30="NÃO","Não deve comparecer",IF(F30="SIM","Confirmar","Não deve comparecer")))</f>
        <v/>
      </c>
      <c r="J30" s="4">
        <f>IF(I30="Deve comparecer","",MATCH(A30,'Por seção'!$A$2:$A$29,0)*10+1)</f>
        <v/>
      </c>
    </row>
    <row r="31">
      <c r="A31" t="n">
        <v>3078</v>
      </c>
      <c r="B31" t="inlineStr">
        <is>
          <t>1º Mesário</t>
        </is>
      </c>
      <c r="C31" t="inlineStr">
        <is>
          <t>TATIANE CRISTINA FREGNANI</t>
        </is>
      </c>
      <c r="D31" t="inlineStr">
        <is>
          <t>tfregnani@outlook.com</t>
        </is>
      </c>
      <c r="E31" s="3" t="inlineStr">
        <is>
          <t>262347330141</t>
        </is>
      </c>
      <c r="F31" t="inlineStr">
        <is>
          <t>SIM</t>
        </is>
      </c>
      <c r="G31" t="inlineStr">
        <is>
          <t>SIM</t>
        </is>
      </c>
      <c r="H31" t="inlineStr">
        <is>
          <t>44</t>
        </is>
      </c>
      <c r="I31">
        <f>IF(G31="SIM","Deve comparecer",IF(G31="NÃO","Não deve comparecer",IF(F31="SIM","Confirmar","Não deve comparecer")))</f>
        <v/>
      </c>
      <c r="J31" s="4">
        <f>IF(I31="Deve comparecer","",MATCH(A31,'Por seção'!$A$2:$A$29,0)*10+2)</f>
        <v/>
      </c>
    </row>
    <row r="32">
      <c r="A32" t="n">
        <v>3078</v>
      </c>
      <c r="B32" t="inlineStr">
        <is>
          <t>2º Mesário</t>
        </is>
      </c>
      <c r="C32" t="inlineStr">
        <is>
          <t>DANIELA LIMA DE MELO CARETTE</t>
        </is>
      </c>
      <c r="D32" t="inlineStr">
        <is>
          <t>danielalmelo@gmail.com</t>
        </is>
      </c>
      <c r="E32" s="3" t="inlineStr">
        <is>
          <t>254243240108</t>
        </is>
      </c>
      <c r="F32" t="inlineStr">
        <is>
          <t>SIM</t>
        </is>
      </c>
      <c r="G32" t="inlineStr">
        <is>
          <t>SIM</t>
        </is>
      </c>
      <c r="H32" t="inlineStr">
        <is>
          <t>1</t>
        </is>
      </c>
      <c r="I32">
        <f>IF(G32="SIM","Deve comparecer",IF(G32="NÃO","Não deve comparecer",IF(F32="SIM","Confirmar","Não deve comparecer")))</f>
        <v/>
      </c>
      <c r="J32" s="4">
        <f>IF(I32="Deve comparecer","",MATCH(A32,'Por seção'!$A$2:$A$29,0)*10+4)</f>
        <v/>
      </c>
    </row>
    <row r="33">
      <c r="A33" t="n">
        <v>3078</v>
      </c>
      <c r="B33" t="inlineStr">
        <is>
          <t>1º Secretário</t>
        </is>
      </c>
      <c r="C33" t="inlineStr">
        <is>
          <t>MATHEUS PASSOS MENDES</t>
        </is>
      </c>
      <c r="D33" t="inlineStr">
        <is>
          <t>passos.matheus@gmail.com</t>
        </is>
      </c>
      <c r="E33" s="3" t="inlineStr">
        <is>
          <t>381115100116</t>
        </is>
      </c>
      <c r="F33" t="inlineStr">
        <is>
          <t>SIM</t>
        </is>
      </c>
      <c r="I33">
        <f>IF(G33="SIM","Deve comparecer",IF(G33="NÃO","Não deve comparecer",IF(F33="SIM","Confirmar","Não deve comparecer")))</f>
        <v/>
      </c>
      <c r="J33" s="4">
        <f>IF(I33="Deve comparecer","",MATCH(A33,'Por seção'!$A$2:$A$29,0)*10+3)</f>
        <v/>
      </c>
    </row>
    <row r="34">
      <c r="A34" t="n">
        <v>3108</v>
      </c>
      <c r="B34" t="inlineStr">
        <is>
          <t>Presidente</t>
        </is>
      </c>
      <c r="C34" t="inlineStr">
        <is>
          <t>FERNANDA LIMA HERMANSON CARVALHO LOPES</t>
        </is>
      </c>
      <c r="D34" t="inlineStr">
        <is>
          <t>fernanda@brazilirelandchamber.com</t>
        </is>
      </c>
      <c r="E34" s="3" t="inlineStr">
        <is>
          <t>363200640191</t>
        </is>
      </c>
      <c r="F34" t="inlineStr">
        <is>
          <t>SIM</t>
        </is>
      </c>
      <c r="G34" t="inlineStr">
        <is>
          <t>SIM</t>
        </is>
      </c>
      <c r="H34" t="inlineStr">
        <is>
          <t>59</t>
        </is>
      </c>
      <c r="I34">
        <f>IF(G34="SIM","Deve comparecer",IF(G34="NÃO","Não deve comparecer",IF(F34="SIM","Confirmar","Não deve comparecer")))</f>
        <v/>
      </c>
      <c r="J34" s="4">
        <f>IF(I34="Deve comparecer","",MATCH(A34,'Por seção'!$A$2:$A$29,0)*10+1)</f>
        <v/>
      </c>
    </row>
    <row r="35">
      <c r="A35" t="n">
        <v>3108</v>
      </c>
      <c r="B35" t="inlineStr">
        <is>
          <t>1º Mesário</t>
        </is>
      </c>
      <c r="C35" t="inlineStr">
        <is>
          <t>DANIEL DOS SANTOS JORGE</t>
        </is>
      </c>
      <c r="D35" t="inlineStr">
        <is>
          <t>daniel20022304@gmail.com</t>
        </is>
      </c>
      <c r="E35" s="3" t="inlineStr">
        <is>
          <t>442676540191</t>
        </is>
      </c>
      <c r="F35" t="inlineStr">
        <is>
          <t>NÃO</t>
        </is>
      </c>
      <c r="I35">
        <f>IF(G35="SIM","Deve comparecer",IF(G35="NÃO","Não deve comparecer",IF(F35="SIM","Confirmar","Não deve comparecer")))</f>
        <v/>
      </c>
      <c r="J35" s="4">
        <f>IF(I35="Deve comparecer","",MATCH(A35,'Por seção'!$A$2:$A$29,0)*10+2)</f>
        <v/>
      </c>
    </row>
    <row r="36">
      <c r="A36" t="n">
        <v>3108</v>
      </c>
      <c r="B36" t="inlineStr">
        <is>
          <t>2º Mesário</t>
        </is>
      </c>
      <c r="C36" t="inlineStr">
        <is>
          <t>INGRID MACHADO DOS REIS</t>
        </is>
      </c>
      <c r="D36" t="inlineStr">
        <is>
          <t>ingridmach@hotmail.com</t>
        </is>
      </c>
      <c r="E36" s="3" t="inlineStr">
        <is>
          <t>369375360108</t>
        </is>
      </c>
      <c r="F36" t="inlineStr">
        <is>
          <t>SIM</t>
        </is>
      </c>
      <c r="G36" t="inlineStr">
        <is>
          <t>SIM</t>
        </is>
      </c>
      <c r="H36" t="inlineStr">
        <is>
          <t>43</t>
        </is>
      </c>
      <c r="I36">
        <f>IF(G36="SIM","Deve comparecer",IF(G36="NÃO","Não deve comparecer",IF(F36="SIM","Confirmar","Não deve comparecer")))</f>
        <v/>
      </c>
      <c r="J36" s="4">
        <f>IF(I36="Deve comparecer","",MATCH(A36,'Por seção'!$A$2:$A$29,0)*10+4)</f>
        <v/>
      </c>
    </row>
    <row r="37">
      <c r="A37" t="n">
        <v>3108</v>
      </c>
      <c r="B37" t="inlineStr">
        <is>
          <t>1º Secretário</t>
        </is>
      </c>
      <c r="C37" t="inlineStr">
        <is>
          <t>DANIELA HADWIG DULLIUS</t>
        </is>
      </c>
      <c r="D37" t="inlineStr">
        <is>
          <t>dulliusdaniela@gmail.com</t>
        </is>
      </c>
      <c r="E37" s="3" t="inlineStr">
        <is>
          <t>103022060469</t>
        </is>
      </c>
      <c r="F37" t="inlineStr">
        <is>
          <t>SIM</t>
        </is>
      </c>
      <c r="I37">
        <f>IF(G37="SIM","Deve comparecer",IF(G37="NÃO","Não deve comparecer",IF(F37="SIM","Confirmar","Não deve comparecer")))</f>
        <v/>
      </c>
      <c r="J37" s="4">
        <f>IF(I37="Deve comparecer","",MATCH(A37,'Por seção'!$A$2:$A$29,0)*10+3)</f>
        <v/>
      </c>
    </row>
    <row r="38">
      <c r="A38" t="n">
        <v>3142</v>
      </c>
      <c r="B38" t="inlineStr">
        <is>
          <t>Presidente</t>
        </is>
      </c>
      <c r="C38" t="inlineStr">
        <is>
          <t>BEATRIZ GILLI HADG KARKACHI</t>
        </is>
      </c>
      <c r="D38" t="inlineStr">
        <is>
          <t>beatrizgilli@hotmail.com</t>
        </is>
      </c>
      <c r="E38" s="3" t="inlineStr">
        <is>
          <t>335145160175</t>
        </is>
      </c>
      <c r="F38" t="inlineStr">
        <is>
          <t>SIM</t>
        </is>
      </c>
      <c r="G38" t="inlineStr">
        <is>
          <t>SIM</t>
        </is>
      </c>
      <c r="H38" t="inlineStr">
        <is>
          <t>47</t>
        </is>
      </c>
      <c r="I38">
        <f>IF(G38="SIM","Deve comparecer",IF(G38="NÃO","Não deve comparecer",IF(F38="SIM","Confirmar","Não deve comparecer")))</f>
        <v/>
      </c>
      <c r="J38" s="4">
        <f>IF(I38="Deve comparecer","",MATCH(A38,'Por seção'!$A$2:$A$29,0)*10+1)</f>
        <v/>
      </c>
    </row>
    <row r="39">
      <c r="A39" t="n">
        <v>3142</v>
      </c>
      <c r="B39" t="inlineStr">
        <is>
          <t>1º Mesário</t>
        </is>
      </c>
      <c r="C39" t="inlineStr">
        <is>
          <t>ANABELLA ALVES DE CASTRO</t>
        </is>
      </c>
      <c r="D39" t="inlineStr">
        <is>
          <t>anabellacastroie@gmail.com</t>
        </is>
      </c>
      <c r="E39" s="3" t="inlineStr">
        <is>
          <t>091189510396</t>
        </is>
      </c>
      <c r="F39" t="inlineStr">
        <is>
          <t>SIM</t>
        </is>
      </c>
      <c r="G39" t="inlineStr">
        <is>
          <t>SIM</t>
        </is>
      </c>
      <c r="H39" t="inlineStr">
        <is>
          <t>56</t>
        </is>
      </c>
      <c r="I39">
        <f>IF(G39="SIM","Deve comparecer",IF(G39="NÃO","Não deve comparecer",IF(F39="SIM","Confirmar","Não deve comparecer")))</f>
        <v/>
      </c>
      <c r="J39" s="4">
        <f>IF(I39="Deve comparecer","",MATCH(A39,'Por seção'!$A$2:$A$29,0)*10+2)</f>
        <v/>
      </c>
    </row>
    <row r="40">
      <c r="A40" t="n">
        <v>3142</v>
      </c>
      <c r="B40" t="inlineStr">
        <is>
          <t>2º Mesário</t>
        </is>
      </c>
      <c r="C40" t="inlineStr">
        <is>
          <t>JULIANA CASSIA TAVARES DE SOUSA</t>
        </is>
      </c>
      <c r="D40" t="inlineStr">
        <is>
          <t>juli_tico@hotmail.com</t>
        </is>
      </c>
      <c r="E40" s="3" t="inlineStr">
        <is>
          <t>323422120183</t>
        </is>
      </c>
      <c r="F40" t="inlineStr">
        <is>
          <t>SIM</t>
        </is>
      </c>
      <c r="G40" t="inlineStr">
        <is>
          <t>SIM</t>
        </is>
      </c>
      <c r="H40" t="inlineStr">
        <is>
          <t>16</t>
        </is>
      </c>
      <c r="I40">
        <f>IF(G40="SIM","Deve comparecer",IF(G40="NÃO","Não deve comparecer",IF(F40="SIM","Confirmar","Não deve comparecer")))</f>
        <v/>
      </c>
      <c r="J40" s="4">
        <f>IF(I40="Deve comparecer","",MATCH(A40,'Por seção'!$A$2:$A$29,0)*10+4)</f>
        <v/>
      </c>
    </row>
    <row r="41">
      <c r="A41" t="n">
        <v>3142</v>
      </c>
      <c r="B41" t="inlineStr">
        <is>
          <t>1º Secretário</t>
        </is>
      </c>
      <c r="C41" t="inlineStr">
        <is>
          <t>LINCOLN CUBAS GUEDES</t>
        </is>
      </c>
      <c r="D41" t="inlineStr">
        <is>
          <t>lincolnguedesc@gmail.com</t>
        </is>
      </c>
      <c r="E41" s="3" t="inlineStr">
        <is>
          <t>107479210647</t>
        </is>
      </c>
      <c r="F41" t="inlineStr">
        <is>
          <t>NÃO</t>
        </is>
      </c>
      <c r="G41" t="inlineStr">
        <is>
          <t>SIM</t>
        </is>
      </c>
      <c r="H41" t="inlineStr">
        <is>
          <t>45, 46</t>
        </is>
      </c>
      <c r="I41">
        <f>IF(G41="SIM","Deve comparecer",IF(G41="NÃO","Não deve comparecer",IF(F41="SIM","Confirmar","Não deve comparecer")))</f>
        <v/>
      </c>
      <c r="J41" s="4">
        <f>IF(I41="Deve comparecer","",MATCH(A41,'Por seção'!$A$2:$A$29,0)*10+3)</f>
        <v/>
      </c>
    </row>
    <row r="42">
      <c r="A42" t="n">
        <v>3161</v>
      </c>
      <c r="B42" t="inlineStr">
        <is>
          <t>Presidente</t>
        </is>
      </c>
      <c r="C42" t="inlineStr">
        <is>
          <t>MARCELA TIYOKO PASSOS KONDO</t>
        </is>
      </c>
      <c r="D42" t="inlineStr">
        <is>
          <t>Marcelatkondo@gmail.com</t>
        </is>
      </c>
      <c r="E42" s="3" t="inlineStr">
        <is>
          <t>431799970116</t>
        </is>
      </c>
      <c r="F42" t="inlineStr">
        <is>
          <t>NÃO</t>
        </is>
      </c>
      <c r="I42">
        <f>IF(G42="SIM","Deve comparecer",IF(G42="NÃO","Não deve comparecer",IF(F42="SIM","Confirmar","Não deve comparecer")))</f>
        <v/>
      </c>
      <c r="J42" s="4">
        <f>IF(I42="Deve comparecer","",MATCH(A42,'Por seção'!$A$2:$A$29,0)*10+1)</f>
        <v/>
      </c>
    </row>
    <row r="43">
      <c r="A43" t="n">
        <v>3161</v>
      </c>
      <c r="B43" t="inlineStr">
        <is>
          <t>1º Mesário</t>
        </is>
      </c>
      <c r="C43" t="inlineStr">
        <is>
          <t>TALITA MORTARI MONTYSUMA</t>
        </is>
      </c>
      <c r="D43" t="inlineStr">
        <is>
          <t>talita.montysuma@gmail.com</t>
        </is>
      </c>
      <c r="E43" s="3" t="inlineStr">
        <is>
          <t>003983782410</t>
        </is>
      </c>
      <c r="F43" t="inlineStr">
        <is>
          <t>SIM</t>
        </is>
      </c>
      <c r="G43" t="inlineStr">
        <is>
          <t>SIM</t>
        </is>
      </c>
      <c r="H43" t="inlineStr">
        <is>
          <t>9</t>
        </is>
      </c>
      <c r="I43">
        <f>IF(G43="SIM","Deve comparecer",IF(G43="NÃO","Não deve comparecer",IF(F43="SIM","Confirmar","Não deve comparecer")))</f>
        <v/>
      </c>
      <c r="J43" s="4">
        <f>IF(I43="Deve comparecer","",MATCH(A43,'Por seção'!$A$2:$A$29,0)*10+2)</f>
        <v/>
      </c>
    </row>
    <row r="44">
      <c r="A44" t="n">
        <v>3161</v>
      </c>
      <c r="B44" t="inlineStr">
        <is>
          <t>2º Mesário</t>
        </is>
      </c>
      <c r="C44" t="inlineStr">
        <is>
          <t>NASTASSJA VERONICA LOUSADA GOMES</t>
        </is>
      </c>
      <c r="D44" t="inlineStr">
        <is>
          <t>nvlousada@gmail.com</t>
        </is>
      </c>
      <c r="E44" s="3" t="inlineStr">
        <is>
          <t>361646820183</t>
        </is>
      </c>
      <c r="F44" t="inlineStr">
        <is>
          <t>SIM</t>
        </is>
      </c>
      <c r="G44" t="inlineStr">
        <is>
          <t>SIM</t>
        </is>
      </c>
      <c r="H44" t="inlineStr">
        <is>
          <t>36</t>
        </is>
      </c>
      <c r="I44">
        <f>IF(G44="SIM","Deve comparecer",IF(G44="NÃO","Não deve comparecer",IF(F44="SIM","Confirmar","Não deve comparecer")))</f>
        <v/>
      </c>
      <c r="J44" s="4">
        <f>IF(I44="Deve comparecer","",MATCH(A44,'Por seção'!$A$2:$A$29,0)*10+4)</f>
        <v/>
      </c>
    </row>
    <row r="45">
      <c r="A45" t="n">
        <v>3161</v>
      </c>
      <c r="B45" t="inlineStr">
        <is>
          <t>1º Secretário</t>
        </is>
      </c>
      <c r="C45" t="inlineStr">
        <is>
          <t>ANTHONY EDWARD DA SILVA AGAPITO</t>
        </is>
      </c>
      <c r="D45" t="inlineStr">
        <is>
          <t>anthonyedasilvagapito@gmail.com</t>
        </is>
      </c>
      <c r="E45" s="3" t="inlineStr">
        <is>
          <t>470520130124</t>
        </is>
      </c>
      <c r="F45" t="inlineStr">
        <is>
          <t>SIM</t>
        </is>
      </c>
      <c r="I45">
        <f>IF(G45="SIM","Deve comparecer",IF(G45="NÃO","Não deve comparecer",IF(F45="SIM","Confirmar","Não deve comparecer")))</f>
        <v/>
      </c>
      <c r="J45" s="4">
        <f>IF(I45="Deve comparecer","",MATCH(A45,'Por seção'!$A$2:$A$29,0)*10+3)</f>
        <v/>
      </c>
    </row>
    <row r="46">
      <c r="A46" t="n">
        <v>3179</v>
      </c>
      <c r="B46" t="inlineStr">
        <is>
          <t>Presidente</t>
        </is>
      </c>
      <c r="C46" t="inlineStr">
        <is>
          <t>ELTON APARECIDO ROCHA</t>
        </is>
      </c>
      <c r="D46" t="inlineStr">
        <is>
          <t>rochae@tcd.ie</t>
        </is>
      </c>
      <c r="E46" s="3" t="inlineStr">
        <is>
          <t>360443460108</t>
        </is>
      </c>
      <c r="F46" t="inlineStr">
        <is>
          <t>SIM</t>
        </is>
      </c>
      <c r="G46" t="inlineStr">
        <is>
          <t>SIM</t>
        </is>
      </c>
      <c r="H46" t="inlineStr">
        <is>
          <t>61</t>
        </is>
      </c>
      <c r="I46">
        <f>IF(G46="SIM","Deve comparecer",IF(G46="NÃO","Não deve comparecer",IF(F46="SIM","Confirmar","Não deve comparecer")))</f>
        <v/>
      </c>
      <c r="J46" s="4">
        <f>IF(I46="Deve comparecer","",MATCH(A46,'Por seção'!$A$2:$A$29,0)*10+1)</f>
        <v/>
      </c>
    </row>
    <row r="47">
      <c r="A47" t="n">
        <v>3179</v>
      </c>
      <c r="B47" t="inlineStr">
        <is>
          <t>1º Mesário</t>
        </is>
      </c>
      <c r="C47" t="inlineStr">
        <is>
          <t>ANDERSON SILVERIO DE OLIVEIRA</t>
        </is>
      </c>
      <c r="D47" t="inlineStr">
        <is>
          <t>andersonsilverio14@gmail.com</t>
        </is>
      </c>
      <c r="E47" s="3" t="inlineStr">
        <is>
          <t>377789170183</t>
        </is>
      </c>
      <c r="F47" t="inlineStr">
        <is>
          <t>NÃO</t>
        </is>
      </c>
      <c r="I47">
        <f>IF(G47="SIM","Deve comparecer",IF(G47="NÃO","Não deve comparecer",IF(F47="SIM","Confirmar","Não deve comparecer")))</f>
        <v/>
      </c>
      <c r="J47" s="4">
        <f>IF(I47="Deve comparecer","",MATCH(A47,'Por seção'!$A$2:$A$29,0)*10+2)</f>
        <v/>
      </c>
    </row>
    <row r="48">
      <c r="A48" t="n">
        <v>3179</v>
      </c>
      <c r="B48" t="inlineStr">
        <is>
          <t>2º Mesário</t>
        </is>
      </c>
      <c r="C48" t="inlineStr">
        <is>
          <t>JUSSARA VENEZA SOARES</t>
        </is>
      </c>
      <c r="D48" t="inlineStr">
        <is>
          <t>jussara.veneza@hotmail.com</t>
        </is>
      </c>
      <c r="E48" s="3" t="inlineStr">
        <is>
          <t>392475340116</t>
        </is>
      </c>
      <c r="F48" t="inlineStr">
        <is>
          <t>NÃO</t>
        </is>
      </c>
      <c r="G48" t="inlineStr">
        <is>
          <t>NÃO</t>
        </is>
      </c>
      <c r="H48" t="inlineStr">
        <is>
          <t>25</t>
        </is>
      </c>
      <c r="I48">
        <f>IF(G48="SIM","Deve comparecer",IF(G48="NÃO","Não deve comparecer",IF(F48="SIM","Confirmar","Não deve comparecer")))</f>
        <v/>
      </c>
      <c r="J48" s="4">
        <f>IF(I48="Deve comparecer","",MATCH(A48,'Por seção'!$A$2:$A$29,0)*10+4)</f>
        <v/>
      </c>
    </row>
    <row r="49">
      <c r="A49" t="n">
        <v>3179</v>
      </c>
      <c r="B49" t="inlineStr">
        <is>
          <t>1º Secretário</t>
        </is>
      </c>
      <c r="C49" t="inlineStr">
        <is>
          <t>TAYNA STETELI PERON LOPES SILVA</t>
        </is>
      </c>
      <c r="D49" t="inlineStr">
        <is>
          <t>perontayna@gmail.com</t>
        </is>
      </c>
      <c r="E49" s="3" t="inlineStr">
        <is>
          <t>403513700175</t>
        </is>
      </c>
      <c r="F49" t="inlineStr">
        <is>
          <t>SIM</t>
        </is>
      </c>
      <c r="G49" t="inlineStr">
        <is>
          <t>SIM</t>
        </is>
      </c>
      <c r="H49" t="inlineStr">
        <is>
          <t>48</t>
        </is>
      </c>
      <c r="I49">
        <f>IF(G49="SIM","Deve comparecer",IF(G49="NÃO","Não deve comparecer",IF(F49="SIM","Confirmar","Não deve comparecer")))</f>
        <v/>
      </c>
      <c r="J49" s="4">
        <f>IF(I49="Deve comparecer","",MATCH(A49,'Por seção'!$A$2:$A$29,0)*10+3)</f>
        <v/>
      </c>
    </row>
    <row r="50">
      <c r="A50" t="n">
        <v>3216</v>
      </c>
      <c r="B50" t="inlineStr">
        <is>
          <t>Presidente</t>
        </is>
      </c>
      <c r="C50" t="inlineStr">
        <is>
          <t>JULIANA HENRIQUE CAMPOS SILVA</t>
        </is>
      </c>
      <c r="D50" t="inlineStr">
        <is>
          <t>julianacampos21@hotmail.com</t>
        </is>
      </c>
      <c r="E50" s="3" t="inlineStr">
        <is>
          <t>056716440833</t>
        </is>
      </c>
      <c r="F50" t="inlineStr">
        <is>
          <t>SIM</t>
        </is>
      </c>
      <c r="G50" t="inlineStr">
        <is>
          <t>SIM</t>
        </is>
      </c>
      <c r="H50" t="inlineStr">
        <is>
          <t>18</t>
        </is>
      </c>
      <c r="I50">
        <f>IF(G50="SIM","Deve comparecer",IF(G50="NÃO","Não deve comparecer",IF(F50="SIM","Confirmar","Não deve comparecer")))</f>
        <v/>
      </c>
      <c r="J50" s="4">
        <f>IF(I50="Deve comparecer","",MATCH(A50,'Por seção'!$A$2:$A$29,0)*10+1)</f>
        <v/>
      </c>
    </row>
    <row r="51">
      <c r="A51" t="n">
        <v>3216</v>
      </c>
      <c r="B51" t="inlineStr">
        <is>
          <t>1º Mesário</t>
        </is>
      </c>
      <c r="C51" t="inlineStr">
        <is>
          <t>LILIANE SILVA DE SOUZA</t>
        </is>
      </c>
      <c r="D51" t="inlineStr">
        <is>
          <t>lilianebr.dublin@gmail.com</t>
        </is>
      </c>
      <c r="E51" s="3" t="inlineStr">
        <is>
          <t>331599550141</t>
        </is>
      </c>
      <c r="F51" t="inlineStr">
        <is>
          <t>SIM</t>
        </is>
      </c>
      <c r="I51">
        <f>IF(G51="SIM","Deve comparecer",IF(G51="NÃO","Não deve comparecer",IF(F51="SIM","Confirmar","Não deve comparecer")))</f>
        <v/>
      </c>
      <c r="J51" s="4">
        <f>IF(I51="Deve comparecer","",MATCH(A51,'Por seção'!$A$2:$A$29,0)*10+2)</f>
        <v/>
      </c>
    </row>
    <row r="52">
      <c r="A52" t="n">
        <v>3216</v>
      </c>
      <c r="B52" t="inlineStr">
        <is>
          <t>2º Mesário</t>
        </is>
      </c>
      <c r="C52" t="inlineStr">
        <is>
          <t>JAQUELINE APARECIDA TEIXEIRA</t>
        </is>
      </c>
      <c r="D52" t="inlineStr">
        <is>
          <t>jack_610aparecida@hormail.com</t>
        </is>
      </c>
      <c r="E52" s="3" t="inlineStr">
        <is>
          <t>371878170191</t>
        </is>
      </c>
      <c r="F52" t="inlineStr">
        <is>
          <t>SIM</t>
        </is>
      </c>
      <c r="G52" t="inlineStr">
        <is>
          <t>SIM</t>
        </is>
      </c>
      <c r="H52" t="inlineStr">
        <is>
          <t>53</t>
        </is>
      </c>
      <c r="I52">
        <f>IF(G52="SIM","Deve comparecer",IF(G52="NÃO","Não deve comparecer",IF(F52="SIM","Confirmar","Não deve comparecer")))</f>
        <v/>
      </c>
      <c r="J52" s="4">
        <f>IF(I52="Deve comparecer","",MATCH(A52,'Por seção'!$A$2:$A$29,0)*10+4)</f>
        <v/>
      </c>
    </row>
    <row r="53">
      <c r="A53" t="n">
        <v>3216</v>
      </c>
      <c r="B53" t="inlineStr">
        <is>
          <t>1º Secretário</t>
        </is>
      </c>
      <c r="C53" t="inlineStr">
        <is>
          <t>DIOGO IGLESIAS CORDEIRO</t>
        </is>
      </c>
      <c r="D53" t="inlineStr">
        <is>
          <t>iglesias_diogo@hotmail.com</t>
        </is>
      </c>
      <c r="E53" s="3" t="inlineStr">
        <is>
          <t>031790652283</t>
        </is>
      </c>
      <c r="F53" t="inlineStr">
        <is>
          <t>SIM</t>
        </is>
      </c>
      <c r="G53" t="inlineStr">
        <is>
          <t>SIM</t>
        </is>
      </c>
      <c r="H53" t="inlineStr">
        <is>
          <t>17</t>
        </is>
      </c>
      <c r="I53">
        <f>IF(G53="SIM","Deve comparecer",IF(G53="NÃO","Não deve comparecer",IF(F53="SIM","Confirmar","Não deve comparecer")))</f>
        <v/>
      </c>
      <c r="J53" s="4">
        <f>IF(I53="Deve comparecer","",MATCH(A53,'Por seção'!$A$2:$A$29,0)*10+3)</f>
        <v/>
      </c>
    </row>
    <row r="54">
      <c r="A54" t="n">
        <v>3229</v>
      </c>
      <c r="B54" t="inlineStr">
        <is>
          <t>Presidente</t>
        </is>
      </c>
      <c r="C54" t="inlineStr">
        <is>
          <t>EDIONES DINIZ SAVARIS</t>
        </is>
      </c>
      <c r="D54" t="inlineStr">
        <is>
          <t>ediones.savaris@gmail.com</t>
        </is>
      </c>
      <c r="E54" s="3" t="inlineStr">
        <is>
          <t>020776902208</t>
        </is>
      </c>
      <c r="F54" t="inlineStr">
        <is>
          <t>SIM</t>
        </is>
      </c>
      <c r="G54" t="inlineStr">
        <is>
          <t>SIM</t>
        </is>
      </c>
      <c r="H54" t="inlineStr">
        <is>
          <t>5</t>
        </is>
      </c>
      <c r="I54">
        <f>IF(G54="SIM","Deve comparecer",IF(G54="NÃO","Não deve comparecer",IF(F54="SIM","Confirmar","Não deve comparecer")))</f>
        <v/>
      </c>
      <c r="J54" s="4">
        <f>IF(I54="Deve comparecer","",MATCH(A54,'Por seção'!$A$2:$A$29,0)*10+1)</f>
        <v/>
      </c>
    </row>
    <row r="55">
      <c r="A55" t="n">
        <v>3229</v>
      </c>
      <c r="B55" t="inlineStr">
        <is>
          <t>1º Mesário</t>
        </is>
      </c>
      <c r="C55" t="inlineStr">
        <is>
          <t>FRANCISCA THAMIRES DE SOUSA</t>
        </is>
      </c>
      <c r="D55" t="inlineStr">
        <is>
          <t>sousa.franciscaa@gmail.com</t>
        </is>
      </c>
      <c r="E55" s="3" t="inlineStr">
        <is>
          <t>388263170124</t>
        </is>
      </c>
      <c r="F55" t="inlineStr">
        <is>
          <t>SIM</t>
        </is>
      </c>
      <c r="I55">
        <f>IF(G55="SIM","Deve comparecer",IF(G55="NÃO","Não deve comparecer",IF(F55="SIM","Confirmar","Não deve comparecer")))</f>
        <v/>
      </c>
      <c r="J55" s="4">
        <f>IF(I55="Deve comparecer","",MATCH(A55,'Por seção'!$A$2:$A$29,0)*10+2)</f>
        <v/>
      </c>
    </row>
    <row r="56">
      <c r="A56" t="n">
        <v>3229</v>
      </c>
      <c r="B56" t="inlineStr">
        <is>
          <t>2º Mesário</t>
        </is>
      </c>
      <c r="C56" t="inlineStr">
        <is>
          <t>AURORA MADRIL OLIVEIRA MOLINA</t>
        </is>
      </c>
      <c r="D56" t="inlineStr">
        <is>
          <t>auroramomolina@icloud.com</t>
        </is>
      </c>
      <c r="E56" s="3" t="inlineStr">
        <is>
          <t>069455401368</t>
        </is>
      </c>
      <c r="F56" t="inlineStr">
        <is>
          <t>SIM</t>
        </is>
      </c>
      <c r="G56" t="inlineStr">
        <is>
          <t>SIM</t>
        </is>
      </c>
      <c r="H56" t="inlineStr">
        <is>
          <t>27</t>
        </is>
      </c>
      <c r="I56">
        <f>IF(G56="SIM","Deve comparecer",IF(G56="NÃO","Não deve comparecer",IF(F56="SIM","Confirmar","Não deve comparecer")))</f>
        <v/>
      </c>
      <c r="J56" s="4">
        <f>IF(I56="Deve comparecer","",MATCH(A56,'Por seção'!$A$2:$A$29,0)*10+4)</f>
        <v/>
      </c>
    </row>
    <row r="57">
      <c r="A57" t="n">
        <v>3229</v>
      </c>
      <c r="B57" t="inlineStr">
        <is>
          <t>1º Secretário</t>
        </is>
      </c>
      <c r="C57" t="inlineStr">
        <is>
          <t>LUCAS FEITOSA CLAUDINO</t>
        </is>
      </c>
      <c r="D57" t="inlineStr">
        <is>
          <t>lcaprezzi@gmail.com</t>
        </is>
      </c>
      <c r="E57" s="3" t="inlineStr">
        <is>
          <t>144785730507</t>
        </is>
      </c>
      <c r="F57" t="inlineStr">
        <is>
          <t>SIM</t>
        </is>
      </c>
      <c r="I57">
        <f>IF(G57="SIM","Deve comparecer",IF(G57="NÃO","Não deve comparecer",IF(F57="SIM","Confirmar","Não deve comparecer")))</f>
        <v/>
      </c>
      <c r="J57" s="4">
        <f>IF(I57="Deve comparecer","",MATCH(A57,'Por seção'!$A$2:$A$29,0)*10+3)</f>
        <v/>
      </c>
    </row>
    <row r="58">
      <c r="A58" t="n">
        <v>3245</v>
      </c>
      <c r="B58" t="inlineStr">
        <is>
          <t>Presidente</t>
        </is>
      </c>
      <c r="C58" t="inlineStr">
        <is>
          <t>MARIANA JURANDIR GASPARETTI</t>
        </is>
      </c>
      <c r="D58" t="inlineStr">
        <is>
          <t>marianagasparetti@gmail.com</t>
        </is>
      </c>
      <c r="E58" s="3" t="inlineStr">
        <is>
          <t>344762680183</t>
        </is>
      </c>
      <c r="F58" t="inlineStr">
        <is>
          <t>SIM</t>
        </is>
      </c>
      <c r="G58" t="inlineStr">
        <is>
          <t>SIM</t>
        </is>
      </c>
      <c r="H58" t="inlineStr">
        <is>
          <t>66</t>
        </is>
      </c>
      <c r="I58">
        <f>IF(G58="SIM","Deve comparecer",IF(G58="NÃO","Não deve comparecer",IF(F58="SIM","Confirmar","Não deve comparecer")))</f>
        <v/>
      </c>
      <c r="J58" s="4">
        <f>IF(I58="Deve comparecer","",MATCH(A58,'Por seção'!$A$2:$A$29,0)*10+1)</f>
        <v/>
      </c>
    </row>
    <row r="59">
      <c r="A59" t="n">
        <v>3245</v>
      </c>
      <c r="B59" t="inlineStr">
        <is>
          <t>1º Mesário</t>
        </is>
      </c>
      <c r="C59" t="inlineStr">
        <is>
          <t>JOAO GABRIEL BARBOSA CESAR</t>
        </is>
      </c>
      <c r="D59" t="inlineStr">
        <is>
          <t>sem contato</t>
        </is>
      </c>
      <c r="E59" s="3" t="inlineStr">
        <is>
          <t>164261590310</t>
        </is>
      </c>
      <c r="F59" t="inlineStr">
        <is>
          <t>SIM</t>
        </is>
      </c>
      <c r="I59">
        <f>IF(G59="SIM","Deve comparecer",IF(G59="NÃO","Não deve comparecer",IF(F59="SIM","Confirmar","Não deve comparecer")))</f>
        <v/>
      </c>
      <c r="J59" s="4">
        <f>IF(I59="Deve comparecer","",MATCH(A59,'Por seção'!$A$2:$A$29,0)*10+2)</f>
        <v/>
      </c>
    </row>
    <row r="60">
      <c r="A60" t="n">
        <v>3245</v>
      </c>
      <c r="B60" t="inlineStr">
        <is>
          <t>2º Mesário</t>
        </is>
      </c>
      <c r="C60" t="inlineStr">
        <is>
          <t>TALITA DE ARAUJO CARVALHO</t>
        </is>
      </c>
      <c r="D60" t="inlineStr">
        <is>
          <t>sem contato</t>
        </is>
      </c>
      <c r="E60" s="3" t="inlineStr">
        <is>
          <t>063075331040</t>
        </is>
      </c>
      <c r="F60" t="inlineStr">
        <is>
          <t>SIM</t>
        </is>
      </c>
      <c r="I60">
        <f>IF(G60="SIM","Deve comparecer",IF(G60="NÃO","Não deve comparecer",IF(F60="SIM","Confirmar","Não deve comparecer")))</f>
        <v/>
      </c>
      <c r="J60" s="4">
        <f>IF(I60="Deve comparecer","",MATCH(A60,'Por seção'!$A$2:$A$29,0)*10+4)</f>
        <v/>
      </c>
    </row>
    <row r="61">
      <c r="A61" t="n">
        <v>3245</v>
      </c>
      <c r="B61" t="inlineStr">
        <is>
          <t>1º Secretário</t>
        </is>
      </c>
      <c r="C61" t="inlineStr">
        <is>
          <t>VINICIUS ARAUJO DE OLIVEIRA</t>
        </is>
      </c>
      <c r="D61" t="inlineStr">
        <is>
          <t xml:space="preserve"> voliveira@gmail.com</t>
        </is>
      </c>
      <c r="E61" s="3" t="inlineStr">
        <is>
          <t>114194690361</t>
        </is>
      </c>
      <c r="F61" t="inlineStr">
        <is>
          <t>NÃO</t>
        </is>
      </c>
      <c r="I61">
        <f>IF(G61="SIM","Deve comparecer",IF(G61="NÃO","Não deve comparecer",IF(F61="SIM","Confirmar","Não deve comparecer")))</f>
        <v/>
      </c>
      <c r="J61" s="4">
        <f>IF(I61="Deve comparecer","",MATCH(A61,'Por seção'!$A$2:$A$29,0)*10+3)</f>
        <v/>
      </c>
    </row>
    <row r="62">
      <c r="A62" t="n">
        <v>3302</v>
      </c>
      <c r="B62" t="inlineStr">
        <is>
          <t>Presidente</t>
        </is>
      </c>
      <c r="C62" t="inlineStr">
        <is>
          <t>MARIA LUCIA MORGANTE DE MIRANDA</t>
        </is>
      </c>
      <c r="D62" t="inlineStr">
        <is>
          <t>malumorgante@gmail.com</t>
        </is>
      </c>
      <c r="E62" s="3" t="inlineStr">
        <is>
          <t>307974360175</t>
        </is>
      </c>
      <c r="F62" t="inlineStr">
        <is>
          <t>SIM</t>
        </is>
      </c>
      <c r="G62" t="inlineStr">
        <is>
          <t>SIM</t>
        </is>
      </c>
      <c r="H62" t="inlineStr">
        <is>
          <t>7</t>
        </is>
      </c>
      <c r="I62">
        <f>IF(G62="SIM","Deve comparecer",IF(G62="NÃO","Não deve comparecer",IF(F62="SIM","Confirmar","Não deve comparecer")))</f>
        <v/>
      </c>
      <c r="J62" s="4">
        <f>IF(I62="Deve comparecer","",MATCH(A62,'Por seção'!$A$2:$A$29,0)*10+1)</f>
        <v/>
      </c>
    </row>
    <row r="63">
      <c r="A63" t="n">
        <v>3302</v>
      </c>
      <c r="B63" t="inlineStr">
        <is>
          <t>1º Mesário</t>
        </is>
      </c>
      <c r="C63" t="inlineStr">
        <is>
          <t>SANDRA REGINA CAETANO DE SOUZA</t>
        </is>
      </c>
      <c r="D63" t="inlineStr">
        <is>
          <t>s.caetanoregina1979@gmail.com</t>
        </is>
      </c>
      <c r="E63" s="3" t="inlineStr">
        <is>
          <t>276925060183</t>
        </is>
      </c>
      <c r="F63" t="inlineStr">
        <is>
          <t>SIM</t>
        </is>
      </c>
      <c r="I63">
        <f>IF(G63="SIM","Deve comparecer",IF(G63="NÃO","Não deve comparecer",IF(F63="SIM","Confirmar","Não deve comparecer")))</f>
        <v/>
      </c>
      <c r="J63" s="4">
        <f>IF(I63="Deve comparecer","",MATCH(A63,'Por seção'!$A$2:$A$29,0)*10+2)</f>
        <v/>
      </c>
    </row>
    <row r="64">
      <c r="A64" t="n">
        <v>3302</v>
      </c>
      <c r="B64" t="inlineStr">
        <is>
          <t>2º Mesário</t>
        </is>
      </c>
      <c r="C64" t="inlineStr">
        <is>
          <t>RENAN WILLIAN DA COSTA</t>
        </is>
      </c>
      <c r="D64" t="inlineStr">
        <is>
          <t>renan.williandc@gmail.com</t>
        </is>
      </c>
      <c r="E64" s="3" t="inlineStr">
        <is>
          <t>413779220108</t>
        </is>
      </c>
      <c r="F64" t="inlineStr">
        <is>
          <t>SIM</t>
        </is>
      </c>
      <c r="G64" t="inlineStr">
        <is>
          <t>SIM</t>
        </is>
      </c>
      <c r="H64" t="inlineStr">
        <is>
          <t>4</t>
        </is>
      </c>
      <c r="I64">
        <f>IF(G64="SIM","Deve comparecer",IF(G64="NÃO","Não deve comparecer",IF(F64="SIM","Confirmar","Não deve comparecer")))</f>
        <v/>
      </c>
      <c r="J64" s="4">
        <f>IF(I64="Deve comparecer","",MATCH(A64,'Por seção'!$A$2:$A$29,0)*10+4)</f>
        <v/>
      </c>
    </row>
    <row r="65">
      <c r="A65" t="n">
        <v>3302</v>
      </c>
      <c r="B65" t="inlineStr">
        <is>
          <t>1º Secretário</t>
        </is>
      </c>
      <c r="C65" t="inlineStr">
        <is>
          <t>TIAGO PAIVA DE CARVALHO</t>
        </is>
      </c>
      <c r="D65" t="inlineStr">
        <is>
          <t>Tiagocare@icloud.com</t>
        </is>
      </c>
      <c r="E65" s="3" t="inlineStr">
        <is>
          <t>290684490183</t>
        </is>
      </c>
      <c r="F65" t="inlineStr">
        <is>
          <t>SIM</t>
        </is>
      </c>
      <c r="I65">
        <f>IF(G65="SIM","Deve comparecer",IF(G65="NÃO","Não deve comparecer",IF(F65="SIM","Confirmar","Não deve comparecer")))</f>
        <v/>
      </c>
      <c r="J65" s="4">
        <f>IF(I65="Deve comparecer","",MATCH(A65,'Por seção'!$A$2:$A$29,0)*10+3)</f>
        <v/>
      </c>
    </row>
    <row r="66">
      <c r="A66" t="n">
        <v>3305</v>
      </c>
      <c r="B66" t="inlineStr">
        <is>
          <t>Presidente</t>
        </is>
      </c>
      <c r="C66" t="inlineStr">
        <is>
          <t>SARA RODRIGUES GOMES</t>
        </is>
      </c>
      <c r="D66" t="inlineStr">
        <is>
          <t>sem contato</t>
        </is>
      </c>
      <c r="E66" s="3" t="inlineStr">
        <is>
          <t>106376760442</t>
        </is>
      </c>
      <c r="F66" t="inlineStr">
        <is>
          <t>NÃO</t>
        </is>
      </c>
      <c r="I66">
        <f>IF(G66="SIM","Deve comparecer",IF(G66="NÃO","Não deve comparecer",IF(F66="SIM","Confirmar","Não deve comparecer")))</f>
        <v/>
      </c>
      <c r="J66" s="4">
        <f>IF(I66="Deve comparecer","",MATCH(A66,'Por seção'!$A$2:$A$29,0)*10+1)</f>
        <v/>
      </c>
    </row>
    <row r="67">
      <c r="A67" t="n">
        <v>3305</v>
      </c>
      <c r="B67" t="inlineStr">
        <is>
          <t>1º Mesário</t>
        </is>
      </c>
      <c r="C67" t="inlineStr">
        <is>
          <t>MARIA HELENA DE FRANÇA MELLO ALVES</t>
        </is>
      </c>
      <c r="D67" t="inlineStr">
        <is>
          <t xml:space="preserve">353helenafranmalves@gmail.com </t>
        </is>
      </c>
      <c r="E67" s="3" t="inlineStr">
        <is>
          <t>145516460361</t>
        </is>
      </c>
      <c r="F67" t="inlineStr">
        <is>
          <t>SIM</t>
        </is>
      </c>
      <c r="I67">
        <f>IF(G67="SIM","Deve comparecer",IF(G67="NÃO","Não deve comparecer",IF(F67="SIM","Confirmar","Não deve comparecer")))</f>
        <v/>
      </c>
      <c r="J67" s="4">
        <f>IF(I67="Deve comparecer","",MATCH(A67,'Por seção'!$A$2:$A$29,0)*10+2)</f>
        <v/>
      </c>
    </row>
    <row r="68">
      <c r="A68" t="n">
        <v>3305</v>
      </c>
      <c r="B68" t="inlineStr">
        <is>
          <t>2º Mesário</t>
        </is>
      </c>
      <c r="C68" t="inlineStr">
        <is>
          <t>FÁBIO MARCELO DA TRINDADE</t>
        </is>
      </c>
      <c r="D68" t="inlineStr">
        <is>
          <t>ftrindade3411@gmail.com</t>
        </is>
      </c>
      <c r="E68" s="3" t="inlineStr">
        <is>
          <t>246647720183</t>
        </is>
      </c>
      <c r="F68" t="inlineStr">
        <is>
          <t>SIM</t>
        </is>
      </c>
      <c r="G68" t="inlineStr">
        <is>
          <t>SIM</t>
        </is>
      </c>
      <c r="H68" t="inlineStr">
        <is>
          <t>10</t>
        </is>
      </c>
      <c r="I68">
        <f>IF(G68="SIM","Deve comparecer",IF(G68="NÃO","Não deve comparecer",IF(F68="SIM","Confirmar","Não deve comparecer")))</f>
        <v/>
      </c>
      <c r="J68" s="4">
        <f>IF(I68="Deve comparecer","",MATCH(A68,'Por seção'!$A$2:$A$29,0)*10+4)</f>
        <v/>
      </c>
    </row>
    <row r="69">
      <c r="A69" t="n">
        <v>3305</v>
      </c>
      <c r="B69" t="inlineStr">
        <is>
          <t>1º Secretário</t>
        </is>
      </c>
      <c r="C69" t="inlineStr">
        <is>
          <t>FAGNER DE PAULA ALMEIDA MORAIS</t>
        </is>
      </c>
      <c r="D69" t="inlineStr">
        <is>
          <t>fagneralmeidamorais@gmail.com</t>
        </is>
      </c>
      <c r="E69" s="3" t="inlineStr">
        <is>
          <t>196190310221</t>
        </is>
      </c>
      <c r="F69" t="inlineStr">
        <is>
          <t>SIM</t>
        </is>
      </c>
      <c r="I69">
        <f>IF(G69="SIM","Deve comparecer",IF(G69="NÃO","Não deve comparecer",IF(F69="SIM","Confirmar","Não deve comparecer")))</f>
        <v/>
      </c>
      <c r="J69" s="4">
        <f>IF(I69="Deve comparecer","",MATCH(A69,'Por seção'!$A$2:$A$29,0)*10+3)</f>
        <v/>
      </c>
    </row>
    <row r="70">
      <c r="A70" t="n">
        <v>3306</v>
      </c>
      <c r="B70" t="inlineStr">
        <is>
          <t>Presidente</t>
        </is>
      </c>
      <c r="C70" t="inlineStr">
        <is>
          <t>JULIANA WONG MENDONÇA</t>
        </is>
      </c>
      <c r="D70" t="inlineStr">
        <is>
          <t>julianawongm@gmail.com</t>
        </is>
      </c>
      <c r="E70" s="3" t="inlineStr">
        <is>
          <t>174315930370</t>
        </is>
      </c>
      <c r="F70" t="inlineStr">
        <is>
          <t>SIM</t>
        </is>
      </c>
      <c r="I70">
        <f>IF(G70="SIM","Deve comparecer",IF(G70="NÃO","Não deve comparecer",IF(F70="SIM","Confirmar","Não deve comparecer")))</f>
        <v/>
      </c>
      <c r="J70" s="4">
        <f>IF(I70="Deve comparecer","",MATCH(A70,'Por seção'!$A$2:$A$29,0)*10+1)</f>
        <v/>
      </c>
    </row>
    <row r="71">
      <c r="A71" t="n">
        <v>3306</v>
      </c>
      <c r="B71" t="inlineStr">
        <is>
          <t>1º Mesário</t>
        </is>
      </c>
      <c r="C71" t="inlineStr">
        <is>
          <t>LUISA OLIVEIRA DO MONTE CARMELO</t>
        </is>
      </c>
      <c r="D71" t="inlineStr">
        <is>
          <t xml:space="preserve">luisamontecarmelo@gmail.com </t>
        </is>
      </c>
      <c r="E71" s="3" t="inlineStr">
        <is>
          <t>463410120124</t>
        </is>
      </c>
      <c r="F71" t="inlineStr">
        <is>
          <t>SIM</t>
        </is>
      </c>
      <c r="I71">
        <f>IF(G71="SIM","Deve comparecer",IF(G71="NÃO","Não deve comparecer",IF(F71="SIM","Confirmar","Não deve comparecer")))</f>
        <v/>
      </c>
      <c r="J71" s="4">
        <f>IF(I71="Deve comparecer","",MATCH(A71,'Por seção'!$A$2:$A$29,0)*10+2)</f>
        <v/>
      </c>
    </row>
    <row r="72">
      <c r="A72" t="n">
        <v>3306</v>
      </c>
      <c r="B72" t="inlineStr">
        <is>
          <t>2º Mesário</t>
        </is>
      </c>
      <c r="C72" t="inlineStr">
        <is>
          <t>MICHAEL DA COSTA MUNIZ</t>
        </is>
      </c>
      <c r="D72" t="inlineStr">
        <is>
          <t>maiik5463@hotmail.com</t>
        </is>
      </c>
      <c r="E72" s="3" t="inlineStr">
        <is>
          <t>407918980116</t>
        </is>
      </c>
      <c r="F72" t="inlineStr">
        <is>
          <t>SIM</t>
        </is>
      </c>
      <c r="G72" t="inlineStr">
        <is>
          <t>SIM</t>
        </is>
      </c>
      <c r="H72" t="inlineStr">
        <is>
          <t>3</t>
        </is>
      </c>
      <c r="I72">
        <f>IF(G72="SIM","Deve comparecer",IF(G72="NÃO","Não deve comparecer",IF(F72="SIM","Confirmar","Não deve comparecer")))</f>
        <v/>
      </c>
      <c r="J72" s="4">
        <f>IF(I72="Deve comparecer","",MATCH(A72,'Por seção'!$A$2:$A$29,0)*10+4)</f>
        <v/>
      </c>
    </row>
    <row r="73">
      <c r="A73" t="n">
        <v>3306</v>
      </c>
      <c r="B73" t="inlineStr">
        <is>
          <t>1º Secretário</t>
        </is>
      </c>
      <c r="C73" t="inlineStr">
        <is>
          <t>MATHEUS CARVALHO MENDONCA</t>
        </is>
      </c>
      <c r="D73" t="inlineStr">
        <is>
          <t>matheuslw@gmail.com</t>
        </is>
      </c>
      <c r="E73" s="3" t="inlineStr">
        <is>
          <t>062299741031</t>
        </is>
      </c>
      <c r="F73" t="inlineStr">
        <is>
          <t>SIM</t>
        </is>
      </c>
      <c r="G73" t="inlineStr">
        <is>
          <t>SIM</t>
        </is>
      </c>
      <c r="H73" t="inlineStr">
        <is>
          <t>22</t>
        </is>
      </c>
      <c r="I73">
        <f>IF(G73="SIM","Deve comparecer",IF(G73="NÃO","Não deve comparecer",IF(F73="SIM","Confirmar","Não deve comparecer")))</f>
        <v/>
      </c>
      <c r="J73" s="4">
        <f>IF(I73="Deve comparecer","",MATCH(A73,'Por seção'!$A$2:$A$29,0)*10+3)</f>
        <v/>
      </c>
    </row>
    <row r="74">
      <c r="A74" t="n">
        <v>3308</v>
      </c>
      <c r="B74" t="inlineStr">
        <is>
          <t>Presidente</t>
        </is>
      </c>
      <c r="C74" t="inlineStr">
        <is>
          <t>KAIQUE AQUINO OLIVEIRA</t>
        </is>
      </c>
      <c r="D74" t="inlineStr">
        <is>
          <t>kaique.aquino.oliveira@esb.ie</t>
        </is>
      </c>
      <c r="E74" s="3" t="inlineStr">
        <is>
          <t>405418010191</t>
        </is>
      </c>
      <c r="F74" t="inlineStr">
        <is>
          <t>NÃO</t>
        </is>
      </c>
      <c r="I74">
        <f>IF(G74="SIM","Deve comparecer",IF(G74="NÃO","Não deve comparecer",IF(F74="SIM","Confirmar","Não deve comparecer")))</f>
        <v/>
      </c>
      <c r="J74" s="4">
        <f>IF(I74="Deve comparecer","",MATCH(A74,'Por seção'!$A$2:$A$29,0)*10+1)</f>
        <v/>
      </c>
    </row>
    <row r="75">
      <c r="A75" t="n">
        <v>3308</v>
      </c>
      <c r="B75" t="inlineStr">
        <is>
          <t>1º Mesário</t>
        </is>
      </c>
      <c r="C75" t="inlineStr">
        <is>
          <t>CARLA RIBEIRO DOS SANTOS SIMOES</t>
        </is>
      </c>
      <c r="D75" t="inlineStr">
        <is>
          <t>krla.dublin16@gmail.com</t>
        </is>
      </c>
      <c r="E75" s="3" t="inlineStr">
        <is>
          <t>141082260272</t>
        </is>
      </c>
      <c r="F75" t="inlineStr">
        <is>
          <t>SIM</t>
        </is>
      </c>
      <c r="G75" t="inlineStr">
        <is>
          <t>SIM</t>
        </is>
      </c>
      <c r="H75" t="inlineStr">
        <is>
          <t>31</t>
        </is>
      </c>
      <c r="I75">
        <f>IF(G75="SIM","Deve comparecer",IF(G75="NÃO","Não deve comparecer",IF(F75="SIM","Confirmar","Não deve comparecer")))</f>
        <v/>
      </c>
      <c r="J75" s="4">
        <f>IF(I75="Deve comparecer","",MATCH(A75,'Por seção'!$A$2:$A$29,0)*10+2)</f>
        <v/>
      </c>
    </row>
    <row r="76">
      <c r="A76" t="n">
        <v>3308</v>
      </c>
      <c r="B76" t="inlineStr">
        <is>
          <t>2º Mesário</t>
        </is>
      </c>
      <c r="C76" t="inlineStr">
        <is>
          <t>LOUISE ANDRIELLE PRANDI</t>
        </is>
      </c>
      <c r="D76" t="inlineStr">
        <is>
          <t>louiseandrielleprandi@gmail.com</t>
        </is>
      </c>
      <c r="E76" s="3" t="inlineStr">
        <is>
          <t>066669950922</t>
        </is>
      </c>
      <c r="F76" t="inlineStr">
        <is>
          <t>SIM</t>
        </is>
      </c>
      <c r="I76">
        <f>IF(G76="SIM","Deve comparecer",IF(G76="NÃO","Não deve comparecer",IF(F76="SIM","Confirmar","Não deve comparecer")))</f>
        <v/>
      </c>
      <c r="J76" s="4">
        <f>IF(I76="Deve comparecer","",MATCH(A76,'Por seção'!$A$2:$A$29,0)*10+4)</f>
        <v/>
      </c>
    </row>
    <row r="77">
      <c r="A77" t="n">
        <v>3308</v>
      </c>
      <c r="B77" t="inlineStr">
        <is>
          <t>1º Secretário</t>
        </is>
      </c>
      <c r="C77" t="inlineStr">
        <is>
          <t>PAULA LIMÃO DE CAMPOS</t>
        </is>
      </c>
      <c r="D77" t="inlineStr">
        <is>
          <t>paulalimao88@hotmail.com</t>
        </is>
      </c>
      <c r="E77" s="3" t="inlineStr">
        <is>
          <t>178391180221</t>
        </is>
      </c>
      <c r="F77" t="inlineStr">
        <is>
          <t>SIM</t>
        </is>
      </c>
      <c r="G77" t="inlineStr">
        <is>
          <t>SIM</t>
        </is>
      </c>
      <c r="H77" t="inlineStr">
        <is>
          <t>55</t>
        </is>
      </c>
      <c r="I77">
        <f>IF(G77="SIM","Deve comparecer",IF(G77="NÃO","Não deve comparecer",IF(F77="SIM","Confirmar","Não deve comparecer")))</f>
        <v/>
      </c>
      <c r="J77" s="4">
        <f>IF(I77="Deve comparecer","",MATCH(A77,'Por seção'!$A$2:$A$29,0)*10+3)</f>
        <v/>
      </c>
    </row>
    <row r="78">
      <c r="A78" t="n">
        <v>3309</v>
      </c>
      <c r="B78" t="inlineStr">
        <is>
          <t>Presidente</t>
        </is>
      </c>
      <c r="C78" t="inlineStr">
        <is>
          <t>ROGERIO LINHARES GOES</t>
        </is>
      </c>
      <c r="D78" t="inlineStr">
        <is>
          <t>rogergoes@hotmail.com</t>
        </is>
      </c>
      <c r="E78" s="3" t="inlineStr">
        <is>
          <t>035793811031</t>
        </is>
      </c>
      <c r="F78" t="inlineStr">
        <is>
          <t>SIM</t>
        </is>
      </c>
      <c r="G78" t="inlineStr">
        <is>
          <t>SIM</t>
        </is>
      </c>
      <c r="H78" t="inlineStr">
        <is>
          <t>6</t>
        </is>
      </c>
      <c r="I78">
        <f>IF(G78="SIM","Deve comparecer",IF(G78="NÃO","Não deve comparecer",IF(F78="SIM","Confirmar","Não deve comparecer")))</f>
        <v/>
      </c>
      <c r="J78" s="4">
        <f>IF(I78="Deve comparecer","",MATCH(A78,'Por seção'!$A$2:$A$29,0)*10+1)</f>
        <v/>
      </c>
    </row>
    <row r="79">
      <c r="A79" t="n">
        <v>3309</v>
      </c>
      <c r="B79" t="inlineStr">
        <is>
          <t>1º Mesário</t>
        </is>
      </c>
      <c r="C79" t="inlineStr">
        <is>
          <t>PAULA CIPRO CARVALHO CAMPOS</t>
        </is>
      </c>
      <c r="D79" t="inlineStr">
        <is>
          <t>paulacipro@gmail.com</t>
        </is>
      </c>
      <c r="E79" s="3" t="inlineStr">
        <is>
          <t>356909870159</t>
        </is>
      </c>
      <c r="F79" t="inlineStr">
        <is>
          <t>SIM</t>
        </is>
      </c>
      <c r="G79" t="inlineStr">
        <is>
          <t>NÃO</t>
        </is>
      </c>
      <c r="H79" t="inlineStr">
        <is>
          <t>38</t>
        </is>
      </c>
      <c r="I79">
        <f>IF(G79="SIM","Deve comparecer",IF(G79="NÃO","Não deve comparecer",IF(F79="SIM","Confirmar","Não deve comparecer")))</f>
        <v/>
      </c>
      <c r="J79" s="4">
        <f>IF(I79="Deve comparecer","",MATCH(A79,'Por seção'!$A$2:$A$29,0)*10+2)</f>
        <v/>
      </c>
    </row>
    <row r="80">
      <c r="A80" t="n">
        <v>3309</v>
      </c>
      <c r="B80" t="inlineStr">
        <is>
          <t>2º Mesário</t>
        </is>
      </c>
      <c r="C80" t="inlineStr">
        <is>
          <t>LUAM DUANE ANDRADE MOREIRA</t>
        </is>
      </c>
      <c r="D80" t="inlineStr">
        <is>
          <t>luamdmoreira@gmail.com</t>
        </is>
      </c>
      <c r="E80" s="3" t="inlineStr">
        <is>
          <t>063704620957</t>
        </is>
      </c>
      <c r="F80" t="inlineStr">
        <is>
          <t>SIM</t>
        </is>
      </c>
      <c r="G80" t="inlineStr">
        <is>
          <t>SIM</t>
        </is>
      </c>
      <c r="H80" t="inlineStr">
        <is>
          <t>63</t>
        </is>
      </c>
      <c r="I80">
        <f>IF(G80="SIM","Deve comparecer",IF(G80="NÃO","Não deve comparecer",IF(F80="SIM","Confirmar","Não deve comparecer")))</f>
        <v/>
      </c>
      <c r="J80" s="4">
        <f>IF(I80="Deve comparecer","",MATCH(A80,'Por seção'!$A$2:$A$29,0)*10+4)</f>
        <v/>
      </c>
    </row>
    <row r="81">
      <c r="A81" t="n">
        <v>3309</v>
      </c>
      <c r="B81" t="inlineStr">
        <is>
          <t>1º Secretário</t>
        </is>
      </c>
      <c r="C81" t="inlineStr">
        <is>
          <t>SARA SOBRAL DIAS</t>
        </is>
      </c>
      <c r="E81" s="3" t="inlineStr">
        <is>
          <t>044827070850</t>
        </is>
      </c>
      <c r="F81" t="inlineStr">
        <is>
          <t>SIM</t>
        </is>
      </c>
      <c r="G81" t="inlineStr">
        <is>
          <t>NÃO</t>
        </is>
      </c>
      <c r="H81" t="inlineStr">
        <is>
          <t>39</t>
        </is>
      </c>
      <c r="I81">
        <f>IF(G81="SIM","Deve comparecer",IF(G81="NÃO","Não deve comparecer",IF(F81="SIM","Confirmar","Não deve comparecer")))</f>
        <v/>
      </c>
      <c r="J81" s="4">
        <f>IF(I81="Deve comparecer","",MATCH(A81,'Por seção'!$A$2:$A$29,0)*10+3)</f>
        <v/>
      </c>
    </row>
    <row r="82">
      <c r="A82" t="n">
        <v>3311</v>
      </c>
      <c r="B82" t="inlineStr">
        <is>
          <t>Presidente</t>
        </is>
      </c>
      <c r="C82" t="inlineStr">
        <is>
          <t>FLAVIA NASCIMENTO DE SOUZA</t>
        </is>
      </c>
      <c r="D82" t="inlineStr">
        <is>
          <t>saradias1@gmail.com</t>
        </is>
      </c>
      <c r="E82" s="3" t="inlineStr">
        <is>
          <t>341298950167</t>
        </is>
      </c>
      <c r="F82" t="inlineStr">
        <is>
          <t>SIM</t>
        </is>
      </c>
      <c r="G82" t="inlineStr">
        <is>
          <t>SIM</t>
        </is>
      </c>
      <c r="H82" t="inlineStr">
        <is>
          <t>8</t>
        </is>
      </c>
      <c r="I82">
        <f>IF(G82="SIM","Deve comparecer",IF(G82="NÃO","Não deve comparecer",IF(F82="SIM","Confirmar","Não deve comparecer")))</f>
        <v/>
      </c>
      <c r="J82" s="4">
        <f>IF(I82="Deve comparecer","",MATCH(A82,'Por seção'!$A$2:$A$29,0)*10+1)</f>
        <v/>
      </c>
    </row>
    <row r="83">
      <c r="A83" t="n">
        <v>3311</v>
      </c>
      <c r="B83" t="inlineStr">
        <is>
          <t>1º Mesário</t>
        </is>
      </c>
      <c r="C83" t="inlineStr">
        <is>
          <t>RODRIGO ERASMO BARBOZA</t>
        </is>
      </c>
      <c r="D83" t="inlineStr">
        <is>
          <t xml:space="preserve"> rodrigoerasmobarboza@gmail.com</t>
        </is>
      </c>
      <c r="E83" s="3" t="inlineStr">
        <is>
          <t>034966040981</t>
        </is>
      </c>
      <c r="F83" t="inlineStr">
        <is>
          <t>SIM</t>
        </is>
      </c>
      <c r="I83">
        <f>IF(G83="SIM","Deve comparecer",IF(G83="NÃO","Não deve comparecer",IF(F83="SIM","Confirmar","Não deve comparecer")))</f>
        <v/>
      </c>
      <c r="J83" s="4">
        <f>IF(I83="Deve comparecer","",MATCH(A83,'Por seção'!$A$2:$A$29,0)*10+2)</f>
        <v/>
      </c>
    </row>
    <row r="84">
      <c r="A84" t="n">
        <v>3311</v>
      </c>
      <c r="B84" t="inlineStr">
        <is>
          <t>2º Mesário</t>
        </is>
      </c>
      <c r="C84" t="inlineStr">
        <is>
          <t>EDNALDO AZEVEDO DE NORONHA</t>
        </is>
      </c>
      <c r="D84" t="inlineStr">
        <is>
          <t>ednaldo283@gmail.com</t>
        </is>
      </c>
      <c r="E84" s="3" t="inlineStr">
        <is>
          <t>074016700892</t>
        </is>
      </c>
      <c r="F84" t="inlineStr">
        <is>
          <t>SIM</t>
        </is>
      </c>
      <c r="G84" t="inlineStr">
        <is>
          <t>SIM</t>
        </is>
      </c>
      <c r="H84" t="inlineStr">
        <is>
          <t>37, 41</t>
        </is>
      </c>
      <c r="I84">
        <f>IF(G84="SIM","Deve comparecer",IF(G84="NÃO","Não deve comparecer",IF(F84="SIM","Confirmar","Não deve comparecer")))</f>
        <v/>
      </c>
      <c r="J84" s="4">
        <f>IF(I84="Deve comparecer","",MATCH(A84,'Por seção'!$A$2:$A$29,0)*10+4)</f>
        <v/>
      </c>
    </row>
    <row r="85">
      <c r="A85" t="n">
        <v>3311</v>
      </c>
      <c r="B85" t="inlineStr">
        <is>
          <t>1º Secretário</t>
        </is>
      </c>
      <c r="C85" t="inlineStr">
        <is>
          <t>THAÍS TERÊNCIO PEREIRA</t>
        </is>
      </c>
      <c r="D85" t="inlineStr">
        <is>
          <t>thaisterencio@hotmail.com</t>
        </is>
      </c>
      <c r="E85" s="3" t="inlineStr">
        <is>
          <t>353846650116</t>
        </is>
      </c>
      <c r="F85" t="inlineStr">
        <is>
          <t>SIM</t>
        </is>
      </c>
      <c r="G85" t="inlineStr">
        <is>
          <t>SIM</t>
        </is>
      </c>
      <c r="H85" t="inlineStr">
        <is>
          <t>58</t>
        </is>
      </c>
      <c r="I85">
        <f>IF(G85="SIM","Deve comparecer",IF(G85="NÃO","Não deve comparecer",IF(F85="SIM","Confirmar","Não deve comparecer")))</f>
        <v/>
      </c>
      <c r="J85" s="4">
        <f>IF(I85="Deve comparecer","",MATCH(A85,'Por seção'!$A$2:$A$29,0)*10+3)</f>
        <v/>
      </c>
    </row>
    <row r="86">
      <c r="A86" t="n">
        <v>3313</v>
      </c>
      <c r="B86" t="inlineStr">
        <is>
          <t>Presidente</t>
        </is>
      </c>
      <c r="C86" t="inlineStr">
        <is>
          <t>VANESSA ROCHA BARBOSA BARBALHO</t>
        </is>
      </c>
      <c r="D86" t="inlineStr">
        <is>
          <t>vanessa.barbosa@itamaraty.gov.br</t>
        </is>
      </c>
      <c r="E86" s="3" t="inlineStr">
        <is>
          <t>012505712046</t>
        </is>
      </c>
      <c r="F86" t="inlineStr">
        <is>
          <t>SIM</t>
        </is>
      </c>
      <c r="G86" t="inlineStr">
        <is>
          <t>SIM</t>
        </is>
      </c>
      <c r="H86" t="inlineStr">
        <is>
          <t>contato direto</t>
        </is>
      </c>
      <c r="I86">
        <f>IF(G86="SIM","Deve comparecer",IF(G86="NÃO","Não deve comparecer",IF(F86="SIM","Confirmar","Não deve comparecer")))</f>
        <v/>
      </c>
      <c r="J86" s="4">
        <f>IF(I86="Deve comparecer","",MATCH(A86,'Por seção'!$A$2:$A$29,0)*10+1)</f>
        <v/>
      </c>
    </row>
    <row r="87">
      <c r="A87" t="n">
        <v>3313</v>
      </c>
      <c r="B87" t="inlineStr">
        <is>
          <t>1º Mesário</t>
        </is>
      </c>
      <c r="C87" t="inlineStr">
        <is>
          <t>LEILA ROSARIA LIOTTA</t>
        </is>
      </c>
      <c r="D87" t="inlineStr">
        <is>
          <t>leilarosaria@yahoo.com.br</t>
        </is>
      </c>
      <c r="E87" s="3" t="inlineStr">
        <is>
          <t>289755370191</t>
        </is>
      </c>
      <c r="F87" t="inlineStr">
        <is>
          <t>SIM</t>
        </is>
      </c>
      <c r="G87" t="inlineStr">
        <is>
          <t>SIM</t>
        </is>
      </c>
      <c r="H87" t="inlineStr">
        <is>
          <t>50</t>
        </is>
      </c>
      <c r="I87">
        <f>IF(G87="SIM","Deve comparecer",IF(G87="NÃO","Não deve comparecer",IF(F87="SIM","Confirmar","Não deve comparecer")))</f>
        <v/>
      </c>
      <c r="J87" s="4">
        <f>IF(I87="Deve comparecer","",MATCH(A87,'Por seção'!$A$2:$A$29,0)*10+2)</f>
        <v/>
      </c>
    </row>
    <row r="88">
      <c r="A88" t="n">
        <v>3313</v>
      </c>
      <c r="B88" t="inlineStr">
        <is>
          <t>2º Mesário</t>
        </is>
      </c>
      <c r="C88" t="inlineStr">
        <is>
          <t>DANIEL PESSOA CARDEAL</t>
        </is>
      </c>
      <c r="D88" t="inlineStr">
        <is>
          <t xml:space="preserve">danielpessoa.cardeal@gmail.com </t>
        </is>
      </c>
      <c r="E88" s="3" t="inlineStr">
        <is>
          <t>438851640116</t>
        </is>
      </c>
      <c r="F88" t="inlineStr">
        <is>
          <t>SIM</t>
        </is>
      </c>
      <c r="G88" t="inlineStr">
        <is>
          <t>NÃO</t>
        </is>
      </c>
      <c r="H88" t="inlineStr">
        <is>
          <t>72</t>
        </is>
      </c>
      <c r="I88">
        <f>IF(G88="SIM","Deve comparecer",IF(G88="NÃO","Não deve comparecer",IF(F88="SIM","Confirmar","Não deve comparecer")))</f>
        <v/>
      </c>
      <c r="J88" s="4">
        <f>IF(I88="Deve comparecer","",MATCH(A88,'Por seção'!$A$2:$A$29,0)*10+4)</f>
        <v/>
      </c>
    </row>
    <row r="89">
      <c r="A89" t="n">
        <v>3313</v>
      </c>
      <c r="B89" t="inlineStr">
        <is>
          <t>1º Secretário</t>
        </is>
      </c>
      <c r="C89" t="inlineStr">
        <is>
          <t>SANDRO CUNHA DA SILVA</t>
        </is>
      </c>
      <c r="D89" t="inlineStr">
        <is>
          <t>sandro.cunha2008@gmail.com</t>
        </is>
      </c>
      <c r="E89" s="3" t="inlineStr">
        <is>
          <t>315883980175</t>
        </is>
      </c>
      <c r="F89" t="inlineStr">
        <is>
          <t>SIM</t>
        </is>
      </c>
      <c r="G89" t="inlineStr">
        <is>
          <t>SIM</t>
        </is>
      </c>
      <c r="H89" t="inlineStr">
        <is>
          <t>26</t>
        </is>
      </c>
      <c r="I89">
        <f>IF(G89="SIM","Deve comparecer",IF(G89="NÃO","Não deve comparecer",IF(F89="SIM","Confirmar","Não deve comparecer")))</f>
        <v/>
      </c>
      <c r="J89" s="4">
        <f>IF(I89="Deve comparecer","",MATCH(A89,'Por seção'!$A$2:$A$29,0)*10+3)</f>
        <v/>
      </c>
    </row>
    <row r="90">
      <c r="A90" t="n">
        <v>3315</v>
      </c>
      <c r="B90" t="inlineStr">
        <is>
          <t>Presidente</t>
        </is>
      </c>
      <c r="C90" t="inlineStr">
        <is>
          <t>JAIR DE ASSUNÇÃO CORREIA FILHO</t>
        </is>
      </c>
      <c r="D90" t="inlineStr">
        <is>
          <t>jair.correia@itamaraty.gov.br</t>
        </is>
      </c>
      <c r="E90" s="3" t="inlineStr">
        <is>
          <t>048485050850</t>
        </is>
      </c>
      <c r="F90" t="inlineStr">
        <is>
          <t>SIM</t>
        </is>
      </c>
      <c r="G90" t="inlineStr">
        <is>
          <t>SIM</t>
        </is>
      </c>
      <c r="H90" t="inlineStr">
        <is>
          <t>contato direto</t>
        </is>
      </c>
      <c r="I90">
        <f>IF(G90="SIM","Deve comparecer",IF(G90="NÃO","Não deve comparecer",IF(F90="SIM","Confirmar","Não deve comparecer")))</f>
        <v/>
      </c>
      <c r="J90" s="4">
        <f>IF(I90="Deve comparecer","",MATCH(A90,'Por seção'!$A$2:$A$29,0)*10+1)</f>
        <v/>
      </c>
    </row>
    <row r="91">
      <c r="A91" t="n">
        <v>3315</v>
      </c>
      <c r="B91" t="inlineStr">
        <is>
          <t>1º Mesário</t>
        </is>
      </c>
      <c r="C91" t="inlineStr">
        <is>
          <t>HUMBERTO ALAF RIBEIRO MARTINS</t>
        </is>
      </c>
      <c r="D91" t="inlineStr">
        <is>
          <t>alaf.ribeiro.965@gmail.com</t>
        </is>
      </c>
      <c r="E91" s="3" t="inlineStr">
        <is>
          <t>432966340108</t>
        </is>
      </c>
      <c r="F91" t="inlineStr">
        <is>
          <t>SIM</t>
        </is>
      </c>
      <c r="G91" t="inlineStr">
        <is>
          <t>SIM</t>
        </is>
      </c>
      <c r="H91" t="inlineStr">
        <is>
          <t>11</t>
        </is>
      </c>
      <c r="I91">
        <f>IF(G91="SIM","Deve comparecer",IF(G91="NÃO","Não deve comparecer",IF(F91="SIM","Confirmar","Não deve comparecer")))</f>
        <v/>
      </c>
      <c r="J91" s="4">
        <f>IF(I91="Deve comparecer","",MATCH(A91,'Por seção'!$A$2:$A$29,0)*10+2)</f>
        <v/>
      </c>
    </row>
    <row r="92">
      <c r="A92" t="n">
        <v>3315</v>
      </c>
      <c r="B92" t="inlineStr">
        <is>
          <t>2º Mesário</t>
        </is>
      </c>
      <c r="C92" t="inlineStr">
        <is>
          <t>JESSICA MENDES</t>
        </is>
      </c>
      <c r="D92" t="inlineStr">
        <is>
          <t>jmendes_mendes@live.com</t>
        </is>
      </c>
      <c r="E92" s="3" t="inlineStr">
        <is>
          <t>371589770116</t>
        </is>
      </c>
      <c r="F92" t="inlineStr">
        <is>
          <t>SIM</t>
        </is>
      </c>
      <c r="G92" t="inlineStr">
        <is>
          <t>SIM</t>
        </is>
      </c>
      <c r="H92" t="inlineStr">
        <is>
          <t>34</t>
        </is>
      </c>
      <c r="I92">
        <f>IF(G92="SIM","Deve comparecer",IF(G92="NÃO","Não deve comparecer",IF(F92="SIM","Confirmar","Não deve comparecer")))</f>
        <v/>
      </c>
      <c r="J92" s="4">
        <f>IF(I92="Deve comparecer","",MATCH(A92,'Por seção'!$A$2:$A$29,0)*10+4)</f>
        <v/>
      </c>
    </row>
    <row r="93">
      <c r="A93" t="n">
        <v>3315</v>
      </c>
      <c r="B93" t="inlineStr">
        <is>
          <t>1º Secretário</t>
        </is>
      </c>
      <c r="C93" t="inlineStr">
        <is>
          <t>ALANE GERSSICA DE ANDRADE DO NASCIMENTO</t>
        </is>
      </c>
      <c r="D93" t="inlineStr">
        <is>
          <t>alanegerssicaandrade@gmail.com</t>
        </is>
      </c>
      <c r="E93" s="3" t="inlineStr">
        <is>
          <t>067033051090</t>
        </is>
      </c>
      <c r="F93" t="inlineStr">
        <is>
          <t>NÃO</t>
        </is>
      </c>
      <c r="G93" t="inlineStr">
        <is>
          <t>NÃO</t>
        </is>
      </c>
      <c r="H93" t="inlineStr">
        <is>
          <t>24</t>
        </is>
      </c>
      <c r="I93">
        <f>IF(G93="SIM","Deve comparecer",IF(G93="NÃO","Não deve comparecer",IF(F93="SIM","Confirmar","Não deve comparecer")))</f>
        <v/>
      </c>
      <c r="J93" s="4">
        <f>IF(I93="Deve comparecer","",MATCH(A93,'Por seção'!$A$2:$A$29,0)*10+3)</f>
        <v/>
      </c>
    </row>
    <row r="94">
      <c r="A94" t="n">
        <v>3322</v>
      </c>
      <c r="B94" t="inlineStr">
        <is>
          <t>Presidente</t>
        </is>
      </c>
      <c r="C94" t="inlineStr">
        <is>
          <t>MAÍRA FABIOLA FABIANI</t>
        </is>
      </c>
      <c r="D94" t="inlineStr">
        <is>
          <t>maira.fabiani@itamaraty.gov.br</t>
        </is>
      </c>
      <c r="E94" s="3" t="inlineStr">
        <is>
          <t>291911490183</t>
        </is>
      </c>
      <c r="F94" t="inlineStr">
        <is>
          <t>SIM</t>
        </is>
      </c>
      <c r="G94" t="inlineStr">
        <is>
          <t>SIM</t>
        </is>
      </c>
      <c r="H94" t="inlineStr">
        <is>
          <t>contato direto</t>
        </is>
      </c>
      <c r="I94">
        <f>IF(G94="SIM","Deve comparecer",IF(G94="NÃO","Não deve comparecer",IF(F94="SIM","Confirmar","Não deve comparecer")))</f>
        <v/>
      </c>
      <c r="J94" s="4">
        <f>IF(I94="Deve comparecer","",MATCH(A94,'Por seção'!$A$2:$A$29,0)*10+1)</f>
        <v/>
      </c>
    </row>
    <row r="95">
      <c r="A95" t="n">
        <v>3322</v>
      </c>
      <c r="B95" t="inlineStr">
        <is>
          <t>1º Mesário</t>
        </is>
      </c>
      <c r="C95" t="inlineStr">
        <is>
          <t>BRENDA ALVES DA SILVA</t>
        </is>
      </c>
      <c r="D95" t="inlineStr">
        <is>
          <t>alves.brenda65@gmail.com</t>
        </is>
      </c>
      <c r="E95" s="3" t="inlineStr">
        <is>
          <t>138840380256</t>
        </is>
      </c>
      <c r="F95" t="inlineStr">
        <is>
          <t>SIM</t>
        </is>
      </c>
      <c r="G95" t="inlineStr">
        <is>
          <t>SIM</t>
        </is>
      </c>
      <c r="H95" t="inlineStr">
        <is>
          <t>62</t>
        </is>
      </c>
      <c r="I95">
        <f>IF(G95="SIM","Deve comparecer",IF(G95="NÃO","Não deve comparecer",IF(F95="SIM","Confirmar","Não deve comparecer")))</f>
        <v/>
      </c>
      <c r="J95" s="4">
        <f>IF(I95="Deve comparecer","",MATCH(A95,'Por seção'!$A$2:$A$29,0)*10+2)</f>
        <v/>
      </c>
    </row>
    <row r="96">
      <c r="A96" t="n">
        <v>3322</v>
      </c>
      <c r="B96" t="inlineStr">
        <is>
          <t>2º Mesário</t>
        </is>
      </c>
      <c r="C96" t="inlineStr">
        <is>
          <t>RUDINEI CORDEIRO</t>
        </is>
      </c>
      <c r="E96" s="3" t="inlineStr">
        <is>
          <t>070501940973</t>
        </is>
      </c>
      <c r="F96" t="inlineStr">
        <is>
          <t>NÃO</t>
        </is>
      </c>
      <c r="I96">
        <f>IF(G96="SIM","Deve comparecer",IF(G96="NÃO","Não deve comparecer",IF(F96="SIM","Confirmar","Não deve comparecer")))</f>
        <v/>
      </c>
      <c r="J96" s="4">
        <f>IF(I96="Deve comparecer","",MATCH(A96,'Por seção'!$A$2:$A$29,0)*10+4)</f>
        <v/>
      </c>
    </row>
    <row r="97">
      <c r="A97" t="n">
        <v>3322</v>
      </c>
      <c r="B97" t="inlineStr">
        <is>
          <t>1º Secretário</t>
        </is>
      </c>
      <c r="C97" t="inlineStr">
        <is>
          <t>NADIA FERNANDA WEBER</t>
        </is>
      </c>
      <c r="D97" t="inlineStr">
        <is>
          <t>nadiaweber12@yahoo.com.br</t>
        </is>
      </c>
      <c r="E97" s="3" t="inlineStr">
        <is>
          <t>060098140973</t>
        </is>
      </c>
      <c r="F97" t="inlineStr">
        <is>
          <t>SIM</t>
        </is>
      </c>
      <c r="G97" t="inlineStr">
        <is>
          <t>SIM</t>
        </is>
      </c>
      <c r="H97" t="inlineStr">
        <is>
          <t>49</t>
        </is>
      </c>
      <c r="I97">
        <f>IF(G97="SIM","Deve comparecer",IF(G97="NÃO","Não deve comparecer",IF(F97="SIM","Confirmar","Não deve comparecer")))</f>
        <v/>
      </c>
      <c r="J97" s="4">
        <f>IF(I97="Deve comparecer","",MATCH(A97,'Por seção'!$A$2:$A$29,0)*10+3)</f>
        <v/>
      </c>
    </row>
    <row r="98">
      <c r="A98" t="n">
        <v>3442</v>
      </c>
      <c r="B98" t="inlineStr">
        <is>
          <t>Presidente</t>
        </is>
      </c>
      <c r="C98" t="inlineStr">
        <is>
          <t>DANILO ANDERSON FERRAREIS</t>
        </is>
      </c>
      <c r="D98" t="inlineStr">
        <is>
          <t>danferrareis@hotmail.com</t>
        </is>
      </c>
      <c r="E98" s="3" t="inlineStr">
        <is>
          <t>221461620116</t>
        </is>
      </c>
      <c r="F98" t="inlineStr">
        <is>
          <t>SIM</t>
        </is>
      </c>
      <c r="G98" t="inlineStr">
        <is>
          <t>SIM</t>
        </is>
      </c>
      <c r="H98" t="inlineStr">
        <is>
          <t>13</t>
        </is>
      </c>
      <c r="I98">
        <f>IF(G98="SIM","Deve comparecer",IF(G98="NÃO","Não deve comparecer",IF(F98="SIM","Confirmar","Não deve comparecer")))</f>
        <v/>
      </c>
      <c r="J98" s="4">
        <f>IF(I98="Deve comparecer","",MATCH(A98,'Por seção'!$A$2:$A$29,0)*10+1)</f>
        <v/>
      </c>
    </row>
    <row r="99">
      <c r="A99" t="n">
        <v>3442</v>
      </c>
      <c r="B99" t="inlineStr">
        <is>
          <t>1º Mesário</t>
        </is>
      </c>
      <c r="C99" t="inlineStr">
        <is>
          <t>GUSTAVO DAVID LOPES</t>
        </is>
      </c>
      <c r="D99" t="inlineStr">
        <is>
          <t>tstrhgt@gmail.com</t>
        </is>
      </c>
      <c r="E99" s="3" t="inlineStr">
        <is>
          <t>378192050116</t>
        </is>
      </c>
      <c r="F99" t="inlineStr">
        <is>
          <t>NÃO</t>
        </is>
      </c>
      <c r="I99">
        <f>IF(G99="SIM","Deve comparecer",IF(G99="NÃO","Não deve comparecer",IF(F99="SIM","Confirmar","Não deve comparecer")))</f>
        <v/>
      </c>
      <c r="J99" s="4">
        <f>IF(I99="Deve comparecer","",MATCH(A99,'Por seção'!$A$2:$A$29,0)*10+2)</f>
        <v/>
      </c>
    </row>
    <row r="100">
      <c r="A100" t="n">
        <v>3442</v>
      </c>
      <c r="B100" t="inlineStr">
        <is>
          <t>2º Mesário</t>
        </is>
      </c>
      <c r="C100" t="inlineStr">
        <is>
          <t>TIFANY AZUMA TROMBINO XANDÚ</t>
        </is>
      </c>
      <c r="D100" t="inlineStr">
        <is>
          <t>tifanyazuma@outlook.com</t>
        </is>
      </c>
      <c r="E100" s="3" t="inlineStr">
        <is>
          <t>434149230132</t>
        </is>
      </c>
      <c r="F100" t="inlineStr">
        <is>
          <t>NÃO</t>
        </is>
      </c>
      <c r="I100">
        <f>IF(G100="SIM","Deve comparecer",IF(G100="NÃO","Não deve comparecer",IF(F100="SIM","Confirmar","Não deve comparecer")))</f>
        <v/>
      </c>
      <c r="J100" s="4">
        <f>IF(I100="Deve comparecer","",MATCH(A100,'Por seção'!$A$2:$A$29,0)*10+4)</f>
        <v/>
      </c>
    </row>
    <row r="101">
      <c r="A101" t="n">
        <v>3442</v>
      </c>
      <c r="B101" t="inlineStr">
        <is>
          <t>1º Secretário</t>
        </is>
      </c>
      <c r="C101" t="inlineStr">
        <is>
          <t>NICOLI CAMPOS CAMILO</t>
        </is>
      </c>
      <c r="D101" t="inlineStr">
        <is>
          <t>Nicolicamilo@hotmail.com</t>
        </is>
      </c>
      <c r="E101" s="3" t="inlineStr">
        <is>
          <t>025945261422</t>
        </is>
      </c>
      <c r="F101" t="inlineStr">
        <is>
          <t>SIM</t>
        </is>
      </c>
      <c r="G101" t="inlineStr">
        <is>
          <t>SIM</t>
        </is>
      </c>
      <c r="H101" t="inlineStr">
        <is>
          <t>28</t>
        </is>
      </c>
      <c r="I101">
        <f>IF(G101="SIM","Deve comparecer",IF(G101="NÃO","Não deve comparecer",IF(F101="SIM","Confirmar","Não deve comparecer")))</f>
        <v/>
      </c>
      <c r="J101" s="4">
        <f>IF(I101="Deve comparecer","",MATCH(A101,'Por seção'!$A$2:$A$29,0)*10+3)</f>
        <v/>
      </c>
    </row>
    <row r="102">
      <c r="A102" t="n">
        <v>3688</v>
      </c>
      <c r="B102" t="inlineStr">
        <is>
          <t>Presidente</t>
        </is>
      </c>
      <c r="C102" t="inlineStr">
        <is>
          <t>JULIANA NUNES DE MENDONÇA</t>
        </is>
      </c>
      <c r="D102" t="inlineStr">
        <is>
          <t>juliana.nunes2010@hotmail.com</t>
        </is>
      </c>
      <c r="E102" s="3" t="inlineStr">
        <is>
          <t>160842290281</t>
        </is>
      </c>
      <c r="F102" t="inlineStr">
        <is>
          <t>SIM</t>
        </is>
      </c>
      <c r="I102">
        <f>IF(G102="SIM","Deve comparecer",IF(G102="NÃO","Não deve comparecer",IF(F102="SIM","Confirmar","Não deve comparecer")))</f>
        <v/>
      </c>
      <c r="J102" s="4">
        <f>IF(I102="Deve comparecer","",MATCH(A102,'Por seção'!$A$2:$A$29,0)*10+1)</f>
        <v/>
      </c>
    </row>
    <row r="103">
      <c r="A103" t="n">
        <v>3688</v>
      </c>
      <c r="B103" t="inlineStr">
        <is>
          <t>1º Mesário</t>
        </is>
      </c>
      <c r="C103" t="inlineStr">
        <is>
          <t>LAURA BEATRIZ VIEIRA SANTOS</t>
        </is>
      </c>
      <c r="D103" t="inlineStr">
        <is>
          <t>laurabvieiras@gmail.com</t>
        </is>
      </c>
      <c r="E103" s="3" t="inlineStr">
        <is>
          <t>213250030299</t>
        </is>
      </c>
      <c r="F103" t="inlineStr">
        <is>
          <t>NÃO</t>
        </is>
      </c>
      <c r="G103" t="inlineStr">
        <is>
          <t>NÃO</t>
        </is>
      </c>
      <c r="H103" t="inlineStr">
        <is>
          <t>20</t>
        </is>
      </c>
      <c r="I103">
        <f>IF(G103="SIM","Deve comparecer",IF(G103="NÃO","Não deve comparecer",IF(F103="SIM","Confirmar","Não deve comparecer")))</f>
        <v/>
      </c>
      <c r="J103" s="4">
        <f>IF(I103="Deve comparecer","",MATCH(A103,'Por seção'!$A$2:$A$29,0)*10+2)</f>
        <v/>
      </c>
    </row>
    <row r="104">
      <c r="A104" t="n">
        <v>3688</v>
      </c>
      <c r="B104" t="inlineStr">
        <is>
          <t>2º Mesário</t>
        </is>
      </c>
      <c r="C104" t="inlineStr">
        <is>
          <t>DIEGO MENDANHA DA SILVA MAIA</t>
        </is>
      </c>
      <c r="E104" s="3" t="inlineStr">
        <is>
          <t>031442581473</t>
        </is>
      </c>
      <c r="F104" t="inlineStr">
        <is>
          <t>SIM</t>
        </is>
      </c>
      <c r="G104" t="inlineStr">
        <is>
          <t>SIM</t>
        </is>
      </c>
      <c r="H104" t="inlineStr">
        <is>
          <t>73</t>
        </is>
      </c>
      <c r="I104">
        <f>IF(G104="SIM","Deve comparecer",IF(G104="NÃO","Não deve comparecer",IF(F104="SIM","Confirmar","Não deve comparecer")))</f>
        <v/>
      </c>
      <c r="J104" s="4">
        <f>IF(I104="Deve comparecer","",MATCH(A104,'Por seção'!$A$2:$A$29,0)*10+4)</f>
        <v/>
      </c>
    </row>
    <row r="105">
      <c r="A105" t="n">
        <v>3688</v>
      </c>
      <c r="B105" t="inlineStr">
        <is>
          <t>1º Secretário</t>
        </is>
      </c>
      <c r="C105" t="inlineStr">
        <is>
          <t>LAURO SILVA RAMOS</t>
        </is>
      </c>
      <c r="D105" t="inlineStr">
        <is>
          <t>lauroramos@outlook.com</t>
        </is>
      </c>
      <c r="E105" s="3" t="inlineStr">
        <is>
          <t>140841090213</t>
        </is>
      </c>
      <c r="F105" t="inlineStr">
        <is>
          <t>SIM</t>
        </is>
      </c>
      <c r="G105" t="inlineStr">
        <is>
          <t>NÃO</t>
        </is>
      </c>
      <c r="H105" t="inlineStr">
        <is>
          <t>75</t>
        </is>
      </c>
      <c r="I105">
        <f>IF(G105="SIM","Deve comparecer",IF(G105="NÃO","Não deve comparecer",IF(F105="SIM","Confirmar","Não deve comparecer")))</f>
        <v/>
      </c>
      <c r="J105" s="4">
        <f>IF(I105="Deve comparecer","",MATCH(A105,'Por seção'!$A$2:$A$29,0)*10+3)</f>
        <v/>
      </c>
    </row>
    <row r="106">
      <c r="A106" t="n">
        <v>3832</v>
      </c>
      <c r="B106" t="inlineStr">
        <is>
          <t>Presidente</t>
        </is>
      </c>
      <c r="C106" t="inlineStr">
        <is>
          <t>GILMAR BARBOSA DE SOUZA</t>
        </is>
      </c>
      <c r="D106" t="inlineStr">
        <is>
          <t>sem contato</t>
        </is>
      </c>
      <c r="E106" s="3" t="inlineStr">
        <is>
          <t>235749730175</t>
        </is>
      </c>
      <c r="F106" t="inlineStr">
        <is>
          <t>SIM</t>
        </is>
      </c>
      <c r="G106" t="inlineStr">
        <is>
          <t>NÃO</t>
        </is>
      </c>
      <c r="H106" t="inlineStr">
        <is>
          <t>70</t>
        </is>
      </c>
      <c r="I106">
        <f>IF(G106="SIM","Deve comparecer",IF(G106="NÃO","Não deve comparecer",IF(F106="SIM","Confirmar","Não deve comparecer")))</f>
        <v/>
      </c>
      <c r="J106" s="4">
        <f>IF(I106="Deve comparecer","",MATCH(A106,'Por seção'!$A$2:$A$29,0)*10+1)</f>
        <v/>
      </c>
    </row>
    <row r="107">
      <c r="A107" t="n">
        <v>3832</v>
      </c>
      <c r="B107" t="inlineStr">
        <is>
          <t>1º Mesário</t>
        </is>
      </c>
      <c r="C107" t="inlineStr">
        <is>
          <t>MARINA RODRIGUES COUTO</t>
        </is>
      </c>
      <c r="D107" t="inlineStr">
        <is>
          <t>marinacoutor@gmail.com</t>
        </is>
      </c>
      <c r="E107" s="3" t="inlineStr">
        <is>
          <t>203915870299</t>
        </is>
      </c>
      <c r="F107" t="inlineStr">
        <is>
          <t>SIM</t>
        </is>
      </c>
      <c r="G107" t="inlineStr">
        <is>
          <t>SIM</t>
        </is>
      </c>
      <c r="H107" t="inlineStr">
        <is>
          <t>21</t>
        </is>
      </c>
      <c r="I107">
        <f>IF(G107="SIM","Deve comparecer",IF(G107="NÃO","Não deve comparecer",IF(F107="SIM","Confirmar","Não deve comparecer")))</f>
        <v/>
      </c>
      <c r="J107" s="4">
        <f>IF(I107="Deve comparecer","",MATCH(A107,'Por seção'!$A$2:$A$29,0)*10+2)</f>
        <v/>
      </c>
    </row>
    <row r="108">
      <c r="A108" t="n">
        <v>3832</v>
      </c>
      <c r="B108" t="inlineStr">
        <is>
          <t>2º Mesário</t>
        </is>
      </c>
      <c r="C108" t="inlineStr">
        <is>
          <t>ROBERTO CANALLI JUNIOR</t>
        </is>
      </c>
      <c r="D108" t="inlineStr">
        <is>
          <t>robertocanallijr@gmail.com</t>
        </is>
      </c>
      <c r="E108" s="3" t="inlineStr">
        <is>
          <t>316781900183</t>
        </is>
      </c>
      <c r="F108" t="inlineStr">
        <is>
          <t>SIM</t>
        </is>
      </c>
      <c r="I108">
        <f>IF(G108="SIM","Deve comparecer",IF(G108="NÃO","Não deve comparecer",IF(F108="SIM","Confirmar","Não deve comparecer")))</f>
        <v/>
      </c>
      <c r="J108" s="4">
        <f>IF(I108="Deve comparecer","",MATCH(A108,'Por seção'!$A$2:$A$29,0)*10+4)</f>
        <v/>
      </c>
    </row>
    <row r="109">
      <c r="A109" t="n">
        <v>3832</v>
      </c>
      <c r="B109" t="inlineStr">
        <is>
          <t>1º Secretário</t>
        </is>
      </c>
      <c r="C109" t="inlineStr">
        <is>
          <t>THAYLA CHRISTINE EUGENIO BENTO</t>
        </is>
      </c>
      <c r="D109" t="inlineStr">
        <is>
          <t>thaylaeugeniob@gmail.com</t>
        </is>
      </c>
      <c r="E109" s="3" t="inlineStr">
        <is>
          <t>430607590183</t>
        </is>
      </c>
      <c r="F109" t="inlineStr">
        <is>
          <t>SIM</t>
        </is>
      </c>
      <c r="G109" t="inlineStr">
        <is>
          <t>SIM</t>
        </is>
      </c>
      <c r="H109" t="inlineStr">
        <is>
          <t>32, 33</t>
        </is>
      </c>
      <c r="I109">
        <f>IF(G109="SIM","Deve comparecer",IF(G109="NÃO","Não deve comparecer",IF(F109="SIM","Confirmar","Não deve comparecer")))</f>
        <v/>
      </c>
      <c r="J109" s="4">
        <f>IF(I109="Deve comparecer","",MATCH(A109,'Por seção'!$A$2:$A$29,0)*10+3)</f>
        <v/>
      </c>
    </row>
    <row r="110">
      <c r="A110" t="n">
        <v>3862</v>
      </c>
      <c r="B110" t="inlineStr">
        <is>
          <t>Presidente</t>
        </is>
      </c>
      <c r="C110" t="inlineStr">
        <is>
          <t>EMILLY LAÍSE PARDO XAVIER</t>
        </is>
      </c>
      <c r="D110" t="inlineStr">
        <is>
          <t>emillylaise@outlook.com</t>
        </is>
      </c>
      <c r="E110" s="3" t="inlineStr">
        <is>
          <t>136018120523</t>
        </is>
      </c>
      <c r="F110" t="inlineStr">
        <is>
          <t>SIM</t>
        </is>
      </c>
      <c r="G110" t="inlineStr">
        <is>
          <t>SIM</t>
        </is>
      </c>
      <c r="H110" t="inlineStr">
        <is>
          <t>65</t>
        </is>
      </c>
      <c r="I110">
        <f>IF(G110="SIM","Deve comparecer",IF(G110="NÃO","Não deve comparecer",IF(F110="SIM","Confirmar","Não deve comparecer")))</f>
        <v/>
      </c>
      <c r="J110" s="4">
        <f>IF(I110="Deve comparecer","",MATCH(A110,'Por seção'!$A$2:$A$29,0)*10+1)</f>
        <v/>
      </c>
    </row>
    <row r="111">
      <c r="A111" t="n">
        <v>3862</v>
      </c>
      <c r="B111" t="inlineStr">
        <is>
          <t>1º Mesário</t>
        </is>
      </c>
      <c r="C111" t="inlineStr">
        <is>
          <t>BRUNA MARIA DE ALMEIDA CABRAL</t>
        </is>
      </c>
      <c r="D111" t="inlineStr">
        <is>
          <t xml:space="preserve">cabralbruma@gmail.com </t>
        </is>
      </c>
      <c r="E111" s="3" t="inlineStr">
        <is>
          <t>033053041791</t>
        </is>
      </c>
      <c r="F111" t="inlineStr">
        <is>
          <t>SIM</t>
        </is>
      </c>
      <c r="G111" t="inlineStr">
        <is>
          <t>SIM</t>
        </is>
      </c>
      <c r="H111" t="inlineStr">
        <is>
          <t>23</t>
        </is>
      </c>
      <c r="I111">
        <f>IF(G111="SIM","Deve comparecer",IF(G111="NÃO","Não deve comparecer",IF(F111="SIM","Confirmar","Não deve comparecer")))</f>
        <v/>
      </c>
      <c r="J111" s="4">
        <f>IF(I111="Deve comparecer","",MATCH(A111,'Por seção'!$A$2:$A$29,0)*10+2)</f>
        <v/>
      </c>
    </row>
    <row r="112">
      <c r="A112" t="n">
        <v>3862</v>
      </c>
      <c r="B112" t="inlineStr">
        <is>
          <t>2º Mesário</t>
        </is>
      </c>
      <c r="C112" t="inlineStr">
        <is>
          <t>— VAGO —</t>
        </is>
      </c>
      <c r="E112" s="3" t="n"/>
      <c r="I112" t="inlineStr">
        <is>
          <t>Vago</t>
        </is>
      </c>
      <c r="J112" s="4">
        <f>IF(I112="Deve comparecer","",MATCH(A112,'Por seção'!$A$2:$A$29,0)*10+4)</f>
        <v/>
      </c>
    </row>
    <row r="113">
      <c r="A113" t="n">
        <v>3862</v>
      </c>
      <c r="B113" t="inlineStr">
        <is>
          <t>1º Secretário</t>
        </is>
      </c>
      <c r="C113" t="inlineStr">
        <is>
          <t>IVANI BATISTA DE FREITAS MONTEIRO</t>
        </is>
      </c>
      <c r="D113" t="inlineStr">
        <is>
          <t>sem contato</t>
        </is>
      </c>
      <c r="E113" s="3" t="inlineStr">
        <is>
          <t>312335790124</t>
        </is>
      </c>
      <c r="F113" t="inlineStr">
        <is>
          <t>SIM</t>
        </is>
      </c>
      <c r="G113" t="inlineStr">
        <is>
          <t>SIM</t>
        </is>
      </c>
      <c r="H113" t="inlineStr">
        <is>
          <t>71</t>
        </is>
      </c>
      <c r="I113">
        <f>IF(G113="SIM","Deve comparecer",IF(G113="NÃO","Não deve comparecer",IF(F113="SIM","Confirmar","Não deve comparecer")))</f>
        <v/>
      </c>
      <c r="J113" s="4">
        <f>IF(I113="Deve comparecer","",MATCH(A113,'Por seção'!$A$2:$A$29,0)*10+3)</f>
        <v/>
      </c>
    </row>
    <row r="115" ht="75" customHeight="1">
      <c r="A115" s="5" t="inlineStr">
        <is>
          <t>Para atualizar: mude a coluna G (Resposta 2º turno: SIM, NÃO ou vazio). As abas 'Expectativa' e 'Funções a preencher' se recalculam. Presença 1º turno = presença consolidada (lista Elo × boletins de identificação de 04/10). Resposta 2º turno = última resposta no formulário de confirmação; 'contato direto' = confirmado por fora do formulário. Expectativa: SIM → Deve comparecer; NÃO → Não deve comparecer; sem resposta → Confirmar se esteve no 1º turno, senão Não deve comparecer. A coluna J só ordena a aba 'Funções a preencher'.</t>
        </is>
      </c>
    </row>
  </sheetData>
  <autoFilter ref="A1:J113"/>
  <mergeCells count="1">
    <mergeCell ref="A115:J115"/>
  </mergeCells>
  <conditionalFormatting sqref="I2:I113">
    <cfRule type="expression" priority="1" dxfId="0">
      <formula>$I2="Deve comparecer"</formula>
    </cfRule>
    <cfRule type="expression" priority="2" dxfId="1">
      <formula>$I2="Confirmar"</formula>
    </cfRule>
    <cfRule type="expression" priority="3" dxfId="2">
      <formula>$I2="Não deve comparecer"</formula>
    </cfRule>
    <cfRule type="expression" priority="4" dxfId="3">
      <formula>$I2="Vago"</formula>
    </cfRule>
  </conditionalFormatting>
  <conditionalFormatting sqref="F2:F113">
    <cfRule type="expression" priority="5" dxfId="4">
      <formula>$F2="NÃO"</formula>
    </cfRule>
  </conditionalFormatting>
  <dataValidations count="2">
    <dataValidation sqref="F2:F113" showDropDown="0" showInputMessage="0" showErrorMessage="0" allowBlank="1" type="list">
      <formula1>"SIM,NÃO"</formula1>
    </dataValidation>
    <dataValidation sqref="G2:G113" showDropDown="0" showInputMessage="0" showErrorMessage="0" allowBlank="1" type="list">
      <formula1>"SIM,NÃO"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3" customWidth="1" min="2" max="2"/>
    <col width="40" customWidth="1" min="3" max="3"/>
    <col width="34" customWidth="1" min="4" max="4"/>
    <col width="13" customWidth="1" min="6" max="6"/>
  </cols>
  <sheetData>
    <row r="1" ht="30" customHeight="1">
      <c r="A1" s="1" t="inlineStr">
        <is>
          <t>Seção</t>
        </is>
      </c>
      <c r="B1" s="1" t="inlineStr">
        <is>
          <t>Função</t>
        </is>
      </c>
      <c r="C1" s="1" t="inlineStr">
        <is>
          <t>Nome do designado</t>
        </is>
      </c>
      <c r="D1" s="1" t="inlineStr">
        <is>
          <t>Sugestão de ação</t>
        </is>
      </c>
      <c r="F1" s="2" t="inlineStr">
        <is>
          <t>A preencher</t>
        </is>
      </c>
      <c r="G1" s="2">
        <f>COUNT('Mesários'!$J$2:$J$113)</f>
        <v/>
      </c>
    </row>
    <row r="2">
      <c r="A2">
        <f>IFERROR(INDEX('Mesários'!$A$2:$A$113,MATCH(SMALL('Mesários'!$J$2:$J$113,1),'Mesários'!$J$2:$J$113,0)),"")</f>
        <v/>
      </c>
      <c r="B2">
        <f>IFERROR(INDEX('Mesários'!$B$2:$B$113,MATCH(SMALL('Mesários'!$J$2:$J$113,1),'Mesários'!$J$2:$J$113,0)),"")</f>
        <v/>
      </c>
      <c r="C2">
        <f>IFERROR(INDEX('Mesários'!$C$2:$C$113,MATCH(SMALL('Mesários'!$J$2:$J$113,1),'Mesários'!$J$2:$J$113,0)),"")</f>
        <v/>
      </c>
      <c r="D2">
        <f>IFERROR(CHOOSE(MATCH(INDEX('Mesários'!$I$2:$I$113,MATCH(SMALL('Mesários'!$J$2:$J$113,1),'Mesários'!$J$2:$J$113,0)),{"Confirmar","Não deve comparecer","Vago"},0),"Contatar para confirmar presença","Recrutar substituto","Recrutar mesário (função vaga)"),"")</f>
        <v/>
      </c>
    </row>
    <row r="3">
      <c r="A3">
        <f>IFERROR(INDEX('Mesários'!$A$2:$A$113,MATCH(SMALL('Mesários'!$J$2:$J$113,2),'Mesários'!$J$2:$J$113,0)),"")</f>
        <v/>
      </c>
      <c r="B3">
        <f>IFERROR(INDEX('Mesários'!$B$2:$B$113,MATCH(SMALL('Mesários'!$J$2:$J$113,2),'Mesários'!$J$2:$J$113,0)),"")</f>
        <v/>
      </c>
      <c r="C3">
        <f>IFERROR(INDEX('Mesários'!$C$2:$C$113,MATCH(SMALL('Mesários'!$J$2:$J$113,2),'Mesários'!$J$2:$J$113,0)),"")</f>
        <v/>
      </c>
      <c r="D3">
        <f>IFERROR(CHOOSE(MATCH(INDEX('Mesários'!$I$2:$I$113,MATCH(SMALL('Mesários'!$J$2:$J$113,2),'Mesários'!$J$2:$J$113,0)),{"Confirmar","Não deve comparecer","Vago"},0),"Contatar para confirmar presença","Recrutar substituto","Recrutar mesário (função vaga)"),"")</f>
        <v/>
      </c>
    </row>
    <row r="4">
      <c r="A4">
        <f>IFERROR(INDEX('Mesários'!$A$2:$A$113,MATCH(SMALL('Mesários'!$J$2:$J$113,3),'Mesários'!$J$2:$J$113,0)),"")</f>
        <v/>
      </c>
      <c r="B4">
        <f>IFERROR(INDEX('Mesários'!$B$2:$B$113,MATCH(SMALL('Mesários'!$J$2:$J$113,3),'Mesários'!$J$2:$J$113,0)),"")</f>
        <v/>
      </c>
      <c r="C4">
        <f>IFERROR(INDEX('Mesários'!$C$2:$C$113,MATCH(SMALL('Mesários'!$J$2:$J$113,3),'Mesários'!$J$2:$J$113,0)),"")</f>
        <v/>
      </c>
      <c r="D4">
        <f>IFERROR(CHOOSE(MATCH(INDEX('Mesários'!$I$2:$I$113,MATCH(SMALL('Mesários'!$J$2:$J$113,3),'Mesários'!$J$2:$J$113,0)),{"Confirmar","Não deve comparecer","Vago"},0),"Contatar para confirmar presença","Recrutar substituto","Recrutar mesário (função vaga)"),"")</f>
        <v/>
      </c>
    </row>
    <row r="5">
      <c r="A5">
        <f>IFERROR(INDEX('Mesários'!$A$2:$A$113,MATCH(SMALL('Mesários'!$J$2:$J$113,4),'Mesários'!$J$2:$J$113,0)),"")</f>
        <v/>
      </c>
      <c r="B5">
        <f>IFERROR(INDEX('Mesários'!$B$2:$B$113,MATCH(SMALL('Mesários'!$J$2:$J$113,4),'Mesários'!$J$2:$J$113,0)),"")</f>
        <v/>
      </c>
      <c r="C5">
        <f>IFERROR(INDEX('Mesários'!$C$2:$C$113,MATCH(SMALL('Mesários'!$J$2:$J$113,4),'Mesários'!$J$2:$J$113,0)),"")</f>
        <v/>
      </c>
      <c r="D5">
        <f>IFERROR(CHOOSE(MATCH(INDEX('Mesários'!$I$2:$I$113,MATCH(SMALL('Mesários'!$J$2:$J$113,4),'Mesários'!$J$2:$J$113,0)),{"Confirmar","Não deve comparecer","Vago"},0),"Contatar para confirmar presença","Recrutar substituto","Recrutar mesário (função vaga)"),"")</f>
        <v/>
      </c>
    </row>
    <row r="6">
      <c r="A6">
        <f>IFERROR(INDEX('Mesários'!$A$2:$A$113,MATCH(SMALL('Mesários'!$J$2:$J$113,5),'Mesários'!$J$2:$J$113,0)),"")</f>
        <v/>
      </c>
      <c r="B6">
        <f>IFERROR(INDEX('Mesários'!$B$2:$B$113,MATCH(SMALL('Mesários'!$J$2:$J$113,5),'Mesários'!$J$2:$J$113,0)),"")</f>
        <v/>
      </c>
      <c r="C6">
        <f>IFERROR(INDEX('Mesários'!$C$2:$C$113,MATCH(SMALL('Mesários'!$J$2:$J$113,5),'Mesários'!$J$2:$J$113,0)),"")</f>
        <v/>
      </c>
      <c r="D6">
        <f>IFERROR(CHOOSE(MATCH(INDEX('Mesários'!$I$2:$I$113,MATCH(SMALL('Mesários'!$J$2:$J$113,5),'Mesários'!$J$2:$J$113,0)),{"Confirmar","Não deve comparecer","Vago"},0),"Contatar para confirmar presença","Recrutar substituto","Recrutar mesário (função vaga)"),"")</f>
        <v/>
      </c>
    </row>
    <row r="7">
      <c r="A7">
        <f>IFERROR(INDEX('Mesários'!$A$2:$A$113,MATCH(SMALL('Mesários'!$J$2:$J$113,6),'Mesários'!$J$2:$J$113,0)),"")</f>
        <v/>
      </c>
      <c r="B7">
        <f>IFERROR(INDEX('Mesários'!$B$2:$B$113,MATCH(SMALL('Mesários'!$J$2:$J$113,6),'Mesários'!$J$2:$J$113,0)),"")</f>
        <v/>
      </c>
      <c r="C7">
        <f>IFERROR(INDEX('Mesários'!$C$2:$C$113,MATCH(SMALL('Mesários'!$J$2:$J$113,6),'Mesários'!$J$2:$J$113,0)),"")</f>
        <v/>
      </c>
      <c r="D7">
        <f>IFERROR(CHOOSE(MATCH(INDEX('Mesários'!$I$2:$I$113,MATCH(SMALL('Mesários'!$J$2:$J$113,6),'Mesários'!$J$2:$J$113,0)),{"Confirmar","Não deve comparecer","Vago"},0),"Contatar para confirmar presença","Recrutar substituto","Recrutar mesário (função vaga)"),"")</f>
        <v/>
      </c>
    </row>
    <row r="8">
      <c r="A8">
        <f>IFERROR(INDEX('Mesários'!$A$2:$A$113,MATCH(SMALL('Mesários'!$J$2:$J$113,7),'Mesários'!$J$2:$J$113,0)),"")</f>
        <v/>
      </c>
      <c r="B8">
        <f>IFERROR(INDEX('Mesários'!$B$2:$B$113,MATCH(SMALL('Mesários'!$J$2:$J$113,7),'Mesários'!$J$2:$J$113,0)),"")</f>
        <v/>
      </c>
      <c r="C8">
        <f>IFERROR(INDEX('Mesários'!$C$2:$C$113,MATCH(SMALL('Mesários'!$J$2:$J$113,7),'Mesários'!$J$2:$J$113,0)),"")</f>
        <v/>
      </c>
      <c r="D8">
        <f>IFERROR(CHOOSE(MATCH(INDEX('Mesários'!$I$2:$I$113,MATCH(SMALL('Mesários'!$J$2:$J$113,7),'Mesários'!$J$2:$J$113,0)),{"Confirmar","Não deve comparecer","Vago"},0),"Contatar para confirmar presença","Recrutar substituto","Recrutar mesário (função vaga)"),"")</f>
        <v/>
      </c>
    </row>
    <row r="9">
      <c r="A9">
        <f>IFERROR(INDEX('Mesários'!$A$2:$A$113,MATCH(SMALL('Mesários'!$J$2:$J$113,8),'Mesários'!$J$2:$J$113,0)),"")</f>
        <v/>
      </c>
      <c r="B9">
        <f>IFERROR(INDEX('Mesários'!$B$2:$B$113,MATCH(SMALL('Mesários'!$J$2:$J$113,8),'Mesários'!$J$2:$J$113,0)),"")</f>
        <v/>
      </c>
      <c r="C9">
        <f>IFERROR(INDEX('Mesários'!$C$2:$C$113,MATCH(SMALL('Mesários'!$J$2:$J$113,8),'Mesários'!$J$2:$J$113,0)),"")</f>
        <v/>
      </c>
      <c r="D9">
        <f>IFERROR(CHOOSE(MATCH(INDEX('Mesários'!$I$2:$I$113,MATCH(SMALL('Mesários'!$J$2:$J$113,8),'Mesários'!$J$2:$J$113,0)),{"Confirmar","Não deve comparecer","Vago"},0),"Contatar para confirmar presença","Recrutar substituto","Recrutar mesário (função vaga)"),"")</f>
        <v/>
      </c>
    </row>
    <row r="10">
      <c r="A10">
        <f>IFERROR(INDEX('Mesários'!$A$2:$A$113,MATCH(SMALL('Mesários'!$J$2:$J$113,9),'Mesários'!$J$2:$J$113,0)),"")</f>
        <v/>
      </c>
      <c r="B10">
        <f>IFERROR(INDEX('Mesários'!$B$2:$B$113,MATCH(SMALL('Mesários'!$J$2:$J$113,9),'Mesários'!$J$2:$J$113,0)),"")</f>
        <v/>
      </c>
      <c r="C10">
        <f>IFERROR(INDEX('Mesários'!$C$2:$C$113,MATCH(SMALL('Mesários'!$J$2:$J$113,9),'Mesários'!$J$2:$J$113,0)),"")</f>
        <v/>
      </c>
      <c r="D10">
        <f>IFERROR(CHOOSE(MATCH(INDEX('Mesários'!$I$2:$I$113,MATCH(SMALL('Mesários'!$J$2:$J$113,9),'Mesários'!$J$2:$J$113,0)),{"Confirmar","Não deve comparecer","Vago"},0),"Contatar para confirmar presença","Recrutar substituto","Recrutar mesário (função vaga)"),"")</f>
        <v/>
      </c>
    </row>
    <row r="11">
      <c r="A11">
        <f>IFERROR(INDEX('Mesários'!$A$2:$A$113,MATCH(SMALL('Mesários'!$J$2:$J$113,10),'Mesários'!$J$2:$J$113,0)),"")</f>
        <v/>
      </c>
      <c r="B11">
        <f>IFERROR(INDEX('Mesários'!$B$2:$B$113,MATCH(SMALL('Mesários'!$J$2:$J$113,10),'Mesários'!$J$2:$J$113,0)),"")</f>
        <v/>
      </c>
      <c r="C11">
        <f>IFERROR(INDEX('Mesários'!$C$2:$C$113,MATCH(SMALL('Mesários'!$J$2:$J$113,10),'Mesários'!$J$2:$J$113,0)),"")</f>
        <v/>
      </c>
      <c r="D11">
        <f>IFERROR(CHOOSE(MATCH(INDEX('Mesários'!$I$2:$I$113,MATCH(SMALL('Mesários'!$J$2:$J$113,10),'Mesários'!$J$2:$J$113,0)),{"Confirmar","Não deve comparecer","Vago"},0),"Contatar para confirmar presença","Recrutar substituto","Recrutar mesário (função vaga)"),"")</f>
        <v/>
      </c>
    </row>
    <row r="12">
      <c r="A12">
        <f>IFERROR(INDEX('Mesários'!$A$2:$A$113,MATCH(SMALL('Mesários'!$J$2:$J$113,11),'Mesários'!$J$2:$J$113,0)),"")</f>
        <v/>
      </c>
      <c r="B12">
        <f>IFERROR(INDEX('Mesários'!$B$2:$B$113,MATCH(SMALL('Mesários'!$J$2:$J$113,11),'Mesários'!$J$2:$J$113,0)),"")</f>
        <v/>
      </c>
      <c r="C12">
        <f>IFERROR(INDEX('Mesários'!$C$2:$C$113,MATCH(SMALL('Mesários'!$J$2:$J$113,11),'Mesários'!$J$2:$J$113,0)),"")</f>
        <v/>
      </c>
      <c r="D12">
        <f>IFERROR(CHOOSE(MATCH(INDEX('Mesários'!$I$2:$I$113,MATCH(SMALL('Mesários'!$J$2:$J$113,11),'Mesários'!$J$2:$J$113,0)),{"Confirmar","Não deve comparecer","Vago"},0),"Contatar para confirmar presença","Recrutar substituto","Recrutar mesário (função vaga)"),"")</f>
        <v/>
      </c>
    </row>
    <row r="13">
      <c r="A13">
        <f>IFERROR(INDEX('Mesários'!$A$2:$A$113,MATCH(SMALL('Mesários'!$J$2:$J$113,12),'Mesários'!$J$2:$J$113,0)),"")</f>
        <v/>
      </c>
      <c r="B13">
        <f>IFERROR(INDEX('Mesários'!$B$2:$B$113,MATCH(SMALL('Mesários'!$J$2:$J$113,12),'Mesários'!$J$2:$J$113,0)),"")</f>
        <v/>
      </c>
      <c r="C13">
        <f>IFERROR(INDEX('Mesários'!$C$2:$C$113,MATCH(SMALL('Mesários'!$J$2:$J$113,12),'Mesários'!$J$2:$J$113,0)),"")</f>
        <v/>
      </c>
      <c r="D13">
        <f>IFERROR(CHOOSE(MATCH(INDEX('Mesários'!$I$2:$I$113,MATCH(SMALL('Mesários'!$J$2:$J$113,12),'Mesários'!$J$2:$J$113,0)),{"Confirmar","Não deve comparecer","Vago"},0),"Contatar para confirmar presença","Recrutar substituto","Recrutar mesário (função vaga)"),"")</f>
        <v/>
      </c>
    </row>
    <row r="14">
      <c r="A14">
        <f>IFERROR(INDEX('Mesários'!$A$2:$A$113,MATCH(SMALL('Mesários'!$J$2:$J$113,13),'Mesários'!$J$2:$J$113,0)),"")</f>
        <v/>
      </c>
      <c r="B14">
        <f>IFERROR(INDEX('Mesários'!$B$2:$B$113,MATCH(SMALL('Mesários'!$J$2:$J$113,13),'Mesários'!$J$2:$J$113,0)),"")</f>
        <v/>
      </c>
      <c r="C14">
        <f>IFERROR(INDEX('Mesários'!$C$2:$C$113,MATCH(SMALL('Mesários'!$J$2:$J$113,13),'Mesários'!$J$2:$J$113,0)),"")</f>
        <v/>
      </c>
      <c r="D14">
        <f>IFERROR(CHOOSE(MATCH(INDEX('Mesários'!$I$2:$I$113,MATCH(SMALL('Mesários'!$J$2:$J$113,13),'Mesários'!$J$2:$J$113,0)),{"Confirmar","Não deve comparecer","Vago"},0),"Contatar para confirmar presença","Recrutar substituto","Recrutar mesário (função vaga)"),"")</f>
        <v/>
      </c>
    </row>
    <row r="15">
      <c r="A15">
        <f>IFERROR(INDEX('Mesários'!$A$2:$A$113,MATCH(SMALL('Mesários'!$J$2:$J$113,14),'Mesários'!$J$2:$J$113,0)),"")</f>
        <v/>
      </c>
      <c r="B15">
        <f>IFERROR(INDEX('Mesários'!$B$2:$B$113,MATCH(SMALL('Mesários'!$J$2:$J$113,14),'Mesários'!$J$2:$J$113,0)),"")</f>
        <v/>
      </c>
      <c r="C15">
        <f>IFERROR(INDEX('Mesários'!$C$2:$C$113,MATCH(SMALL('Mesários'!$J$2:$J$113,14),'Mesários'!$J$2:$J$113,0)),"")</f>
        <v/>
      </c>
      <c r="D15">
        <f>IFERROR(CHOOSE(MATCH(INDEX('Mesários'!$I$2:$I$113,MATCH(SMALL('Mesários'!$J$2:$J$113,14),'Mesários'!$J$2:$J$113,0)),{"Confirmar","Não deve comparecer","Vago"},0),"Contatar para confirmar presença","Recrutar substituto","Recrutar mesário (função vaga)"),"")</f>
        <v/>
      </c>
    </row>
    <row r="16">
      <c r="A16">
        <f>IFERROR(INDEX('Mesários'!$A$2:$A$113,MATCH(SMALL('Mesários'!$J$2:$J$113,15),'Mesários'!$J$2:$J$113,0)),"")</f>
        <v/>
      </c>
      <c r="B16">
        <f>IFERROR(INDEX('Mesários'!$B$2:$B$113,MATCH(SMALL('Mesários'!$J$2:$J$113,15),'Mesários'!$J$2:$J$113,0)),"")</f>
        <v/>
      </c>
      <c r="C16">
        <f>IFERROR(INDEX('Mesários'!$C$2:$C$113,MATCH(SMALL('Mesários'!$J$2:$J$113,15),'Mesários'!$J$2:$J$113,0)),"")</f>
        <v/>
      </c>
      <c r="D16">
        <f>IFERROR(CHOOSE(MATCH(INDEX('Mesários'!$I$2:$I$113,MATCH(SMALL('Mesários'!$J$2:$J$113,15),'Mesários'!$J$2:$J$113,0)),{"Confirmar","Não deve comparecer","Vago"},0),"Contatar para confirmar presença","Recrutar substituto","Recrutar mesário (função vaga)"),"")</f>
        <v/>
      </c>
    </row>
    <row r="17">
      <c r="A17">
        <f>IFERROR(INDEX('Mesários'!$A$2:$A$113,MATCH(SMALL('Mesários'!$J$2:$J$113,16),'Mesários'!$J$2:$J$113,0)),"")</f>
        <v/>
      </c>
      <c r="B17">
        <f>IFERROR(INDEX('Mesários'!$B$2:$B$113,MATCH(SMALL('Mesários'!$J$2:$J$113,16),'Mesários'!$J$2:$J$113,0)),"")</f>
        <v/>
      </c>
      <c r="C17">
        <f>IFERROR(INDEX('Mesários'!$C$2:$C$113,MATCH(SMALL('Mesários'!$J$2:$J$113,16),'Mesários'!$J$2:$J$113,0)),"")</f>
        <v/>
      </c>
      <c r="D17">
        <f>IFERROR(CHOOSE(MATCH(INDEX('Mesários'!$I$2:$I$113,MATCH(SMALL('Mesários'!$J$2:$J$113,16),'Mesários'!$J$2:$J$113,0)),{"Confirmar","Não deve comparecer","Vago"},0),"Contatar para confirmar presença","Recrutar substituto","Recrutar mesário (função vaga)"),"")</f>
        <v/>
      </c>
    </row>
    <row r="18">
      <c r="A18">
        <f>IFERROR(INDEX('Mesários'!$A$2:$A$113,MATCH(SMALL('Mesários'!$J$2:$J$113,17),'Mesários'!$J$2:$J$113,0)),"")</f>
        <v/>
      </c>
      <c r="B18">
        <f>IFERROR(INDEX('Mesários'!$B$2:$B$113,MATCH(SMALL('Mesários'!$J$2:$J$113,17),'Mesários'!$J$2:$J$113,0)),"")</f>
        <v/>
      </c>
      <c r="C18">
        <f>IFERROR(INDEX('Mesários'!$C$2:$C$113,MATCH(SMALL('Mesários'!$J$2:$J$113,17),'Mesários'!$J$2:$J$113,0)),"")</f>
        <v/>
      </c>
      <c r="D18">
        <f>IFERROR(CHOOSE(MATCH(INDEX('Mesários'!$I$2:$I$113,MATCH(SMALL('Mesários'!$J$2:$J$113,17),'Mesários'!$J$2:$J$113,0)),{"Confirmar","Não deve comparecer","Vago"},0),"Contatar para confirmar presença","Recrutar substituto","Recrutar mesário (função vaga)"),"")</f>
        <v/>
      </c>
    </row>
    <row r="19">
      <c r="A19">
        <f>IFERROR(INDEX('Mesários'!$A$2:$A$113,MATCH(SMALL('Mesários'!$J$2:$J$113,18),'Mesários'!$J$2:$J$113,0)),"")</f>
        <v/>
      </c>
      <c r="B19">
        <f>IFERROR(INDEX('Mesários'!$B$2:$B$113,MATCH(SMALL('Mesários'!$J$2:$J$113,18),'Mesários'!$J$2:$J$113,0)),"")</f>
        <v/>
      </c>
      <c r="C19">
        <f>IFERROR(INDEX('Mesários'!$C$2:$C$113,MATCH(SMALL('Mesários'!$J$2:$J$113,18),'Mesários'!$J$2:$J$113,0)),"")</f>
        <v/>
      </c>
      <c r="D19">
        <f>IFERROR(CHOOSE(MATCH(INDEX('Mesários'!$I$2:$I$113,MATCH(SMALL('Mesários'!$J$2:$J$113,18),'Mesários'!$J$2:$J$113,0)),{"Confirmar","Não deve comparecer","Vago"},0),"Contatar para confirmar presença","Recrutar substituto","Recrutar mesário (função vaga)"),"")</f>
        <v/>
      </c>
    </row>
    <row r="20">
      <c r="A20">
        <f>IFERROR(INDEX('Mesários'!$A$2:$A$113,MATCH(SMALL('Mesários'!$J$2:$J$113,19),'Mesários'!$J$2:$J$113,0)),"")</f>
        <v/>
      </c>
      <c r="B20">
        <f>IFERROR(INDEX('Mesários'!$B$2:$B$113,MATCH(SMALL('Mesários'!$J$2:$J$113,19),'Mesários'!$J$2:$J$113,0)),"")</f>
        <v/>
      </c>
      <c r="C20">
        <f>IFERROR(INDEX('Mesários'!$C$2:$C$113,MATCH(SMALL('Mesários'!$J$2:$J$113,19),'Mesários'!$J$2:$J$113,0)),"")</f>
        <v/>
      </c>
      <c r="D20">
        <f>IFERROR(CHOOSE(MATCH(INDEX('Mesários'!$I$2:$I$113,MATCH(SMALL('Mesários'!$J$2:$J$113,19),'Mesários'!$J$2:$J$113,0)),{"Confirmar","Não deve comparecer","Vago"},0),"Contatar para confirmar presença","Recrutar substituto","Recrutar mesário (função vaga)"),"")</f>
        <v/>
      </c>
    </row>
    <row r="21">
      <c r="A21">
        <f>IFERROR(INDEX('Mesários'!$A$2:$A$113,MATCH(SMALL('Mesários'!$J$2:$J$113,20),'Mesários'!$J$2:$J$113,0)),"")</f>
        <v/>
      </c>
      <c r="B21">
        <f>IFERROR(INDEX('Mesários'!$B$2:$B$113,MATCH(SMALL('Mesários'!$J$2:$J$113,20),'Mesários'!$J$2:$J$113,0)),"")</f>
        <v/>
      </c>
      <c r="C21">
        <f>IFERROR(INDEX('Mesários'!$C$2:$C$113,MATCH(SMALL('Mesários'!$J$2:$J$113,20),'Mesários'!$J$2:$J$113,0)),"")</f>
        <v/>
      </c>
      <c r="D21">
        <f>IFERROR(CHOOSE(MATCH(INDEX('Mesários'!$I$2:$I$113,MATCH(SMALL('Mesários'!$J$2:$J$113,20),'Mesários'!$J$2:$J$113,0)),{"Confirmar","Não deve comparecer","Vago"},0),"Contatar para confirmar presença","Recrutar substituto","Recrutar mesário (função vaga)"),"")</f>
        <v/>
      </c>
    </row>
    <row r="22">
      <c r="A22">
        <f>IFERROR(INDEX('Mesários'!$A$2:$A$113,MATCH(SMALL('Mesários'!$J$2:$J$113,21),'Mesários'!$J$2:$J$113,0)),"")</f>
        <v/>
      </c>
      <c r="B22">
        <f>IFERROR(INDEX('Mesários'!$B$2:$B$113,MATCH(SMALL('Mesários'!$J$2:$J$113,21),'Mesários'!$J$2:$J$113,0)),"")</f>
        <v/>
      </c>
      <c r="C22">
        <f>IFERROR(INDEX('Mesários'!$C$2:$C$113,MATCH(SMALL('Mesários'!$J$2:$J$113,21),'Mesários'!$J$2:$J$113,0)),"")</f>
        <v/>
      </c>
      <c r="D22">
        <f>IFERROR(CHOOSE(MATCH(INDEX('Mesários'!$I$2:$I$113,MATCH(SMALL('Mesários'!$J$2:$J$113,21),'Mesários'!$J$2:$J$113,0)),{"Confirmar","Não deve comparecer","Vago"},0),"Contatar para confirmar presença","Recrutar substituto","Recrutar mesário (função vaga)"),"")</f>
        <v/>
      </c>
    </row>
    <row r="23">
      <c r="A23">
        <f>IFERROR(INDEX('Mesários'!$A$2:$A$113,MATCH(SMALL('Mesários'!$J$2:$J$113,22),'Mesários'!$J$2:$J$113,0)),"")</f>
        <v/>
      </c>
      <c r="B23">
        <f>IFERROR(INDEX('Mesários'!$B$2:$B$113,MATCH(SMALL('Mesários'!$J$2:$J$113,22),'Mesários'!$J$2:$J$113,0)),"")</f>
        <v/>
      </c>
      <c r="C23">
        <f>IFERROR(INDEX('Mesários'!$C$2:$C$113,MATCH(SMALL('Mesários'!$J$2:$J$113,22),'Mesários'!$J$2:$J$113,0)),"")</f>
        <v/>
      </c>
      <c r="D23">
        <f>IFERROR(CHOOSE(MATCH(INDEX('Mesários'!$I$2:$I$113,MATCH(SMALL('Mesários'!$J$2:$J$113,22),'Mesários'!$J$2:$J$113,0)),{"Confirmar","Não deve comparecer","Vago"},0),"Contatar para confirmar presença","Recrutar substituto","Recrutar mesário (função vaga)"),"")</f>
        <v/>
      </c>
    </row>
    <row r="24">
      <c r="A24">
        <f>IFERROR(INDEX('Mesários'!$A$2:$A$113,MATCH(SMALL('Mesários'!$J$2:$J$113,23),'Mesários'!$J$2:$J$113,0)),"")</f>
        <v/>
      </c>
      <c r="B24">
        <f>IFERROR(INDEX('Mesários'!$B$2:$B$113,MATCH(SMALL('Mesários'!$J$2:$J$113,23),'Mesários'!$J$2:$J$113,0)),"")</f>
        <v/>
      </c>
      <c r="C24">
        <f>IFERROR(INDEX('Mesários'!$C$2:$C$113,MATCH(SMALL('Mesários'!$J$2:$J$113,23),'Mesários'!$J$2:$J$113,0)),"")</f>
        <v/>
      </c>
      <c r="D24">
        <f>IFERROR(CHOOSE(MATCH(INDEX('Mesários'!$I$2:$I$113,MATCH(SMALL('Mesários'!$J$2:$J$113,23),'Mesários'!$J$2:$J$113,0)),{"Confirmar","Não deve comparecer","Vago"},0),"Contatar para confirmar presença","Recrutar substituto","Recrutar mesário (função vaga)"),"")</f>
        <v/>
      </c>
    </row>
    <row r="25">
      <c r="A25">
        <f>IFERROR(INDEX('Mesários'!$A$2:$A$113,MATCH(SMALL('Mesários'!$J$2:$J$113,24),'Mesários'!$J$2:$J$113,0)),"")</f>
        <v/>
      </c>
      <c r="B25">
        <f>IFERROR(INDEX('Mesários'!$B$2:$B$113,MATCH(SMALL('Mesários'!$J$2:$J$113,24),'Mesários'!$J$2:$J$113,0)),"")</f>
        <v/>
      </c>
      <c r="C25">
        <f>IFERROR(INDEX('Mesários'!$C$2:$C$113,MATCH(SMALL('Mesários'!$J$2:$J$113,24),'Mesários'!$J$2:$J$113,0)),"")</f>
        <v/>
      </c>
      <c r="D25">
        <f>IFERROR(CHOOSE(MATCH(INDEX('Mesários'!$I$2:$I$113,MATCH(SMALL('Mesários'!$J$2:$J$113,24),'Mesários'!$J$2:$J$113,0)),{"Confirmar","Não deve comparecer","Vago"},0),"Contatar para confirmar presença","Recrutar substituto","Recrutar mesário (função vaga)"),"")</f>
        <v/>
      </c>
    </row>
    <row r="26">
      <c r="A26">
        <f>IFERROR(INDEX('Mesários'!$A$2:$A$113,MATCH(SMALL('Mesários'!$J$2:$J$113,25),'Mesários'!$J$2:$J$113,0)),"")</f>
        <v/>
      </c>
      <c r="B26">
        <f>IFERROR(INDEX('Mesários'!$B$2:$B$113,MATCH(SMALL('Mesários'!$J$2:$J$113,25),'Mesários'!$J$2:$J$113,0)),"")</f>
        <v/>
      </c>
      <c r="C26">
        <f>IFERROR(INDEX('Mesários'!$C$2:$C$113,MATCH(SMALL('Mesários'!$J$2:$J$113,25),'Mesários'!$J$2:$J$113,0)),"")</f>
        <v/>
      </c>
      <c r="D26">
        <f>IFERROR(CHOOSE(MATCH(INDEX('Mesários'!$I$2:$I$113,MATCH(SMALL('Mesários'!$J$2:$J$113,25),'Mesários'!$J$2:$J$113,0)),{"Confirmar","Não deve comparecer","Vago"},0),"Contatar para confirmar presença","Recrutar substituto","Recrutar mesário (função vaga)"),"")</f>
        <v/>
      </c>
    </row>
    <row r="27">
      <c r="A27">
        <f>IFERROR(INDEX('Mesários'!$A$2:$A$113,MATCH(SMALL('Mesários'!$J$2:$J$113,26),'Mesários'!$J$2:$J$113,0)),"")</f>
        <v/>
      </c>
      <c r="B27">
        <f>IFERROR(INDEX('Mesários'!$B$2:$B$113,MATCH(SMALL('Mesários'!$J$2:$J$113,26),'Mesários'!$J$2:$J$113,0)),"")</f>
        <v/>
      </c>
      <c r="C27">
        <f>IFERROR(INDEX('Mesários'!$C$2:$C$113,MATCH(SMALL('Mesários'!$J$2:$J$113,26),'Mesários'!$J$2:$J$113,0)),"")</f>
        <v/>
      </c>
      <c r="D27">
        <f>IFERROR(CHOOSE(MATCH(INDEX('Mesários'!$I$2:$I$113,MATCH(SMALL('Mesários'!$J$2:$J$113,26),'Mesários'!$J$2:$J$113,0)),{"Confirmar","Não deve comparecer","Vago"},0),"Contatar para confirmar presença","Recrutar substituto","Recrutar mesário (função vaga)"),"")</f>
        <v/>
      </c>
    </row>
    <row r="28">
      <c r="A28">
        <f>IFERROR(INDEX('Mesários'!$A$2:$A$113,MATCH(SMALL('Mesários'!$J$2:$J$113,27),'Mesários'!$J$2:$J$113,0)),"")</f>
        <v/>
      </c>
      <c r="B28">
        <f>IFERROR(INDEX('Mesários'!$B$2:$B$113,MATCH(SMALL('Mesários'!$J$2:$J$113,27),'Mesários'!$J$2:$J$113,0)),"")</f>
        <v/>
      </c>
      <c r="C28">
        <f>IFERROR(INDEX('Mesários'!$C$2:$C$113,MATCH(SMALL('Mesários'!$J$2:$J$113,27),'Mesários'!$J$2:$J$113,0)),"")</f>
        <v/>
      </c>
      <c r="D28">
        <f>IFERROR(CHOOSE(MATCH(INDEX('Mesários'!$I$2:$I$113,MATCH(SMALL('Mesários'!$J$2:$J$113,27),'Mesários'!$J$2:$J$113,0)),{"Confirmar","Não deve comparecer","Vago"},0),"Contatar para confirmar presença","Recrutar substituto","Recrutar mesário (função vaga)"),"")</f>
        <v/>
      </c>
    </row>
    <row r="29">
      <c r="A29">
        <f>IFERROR(INDEX('Mesários'!$A$2:$A$113,MATCH(SMALL('Mesários'!$J$2:$J$113,28),'Mesários'!$J$2:$J$113,0)),"")</f>
        <v/>
      </c>
      <c r="B29">
        <f>IFERROR(INDEX('Mesários'!$B$2:$B$113,MATCH(SMALL('Mesários'!$J$2:$J$113,28),'Mesários'!$J$2:$J$113,0)),"")</f>
        <v/>
      </c>
      <c r="C29">
        <f>IFERROR(INDEX('Mesários'!$C$2:$C$113,MATCH(SMALL('Mesários'!$J$2:$J$113,28),'Mesários'!$J$2:$J$113,0)),"")</f>
        <v/>
      </c>
      <c r="D29">
        <f>IFERROR(CHOOSE(MATCH(INDEX('Mesários'!$I$2:$I$113,MATCH(SMALL('Mesários'!$J$2:$J$113,28),'Mesários'!$J$2:$J$113,0)),{"Confirmar","Não deve comparecer","Vago"},0),"Contatar para confirmar presença","Recrutar substituto","Recrutar mesário (função vaga)"),"")</f>
        <v/>
      </c>
    </row>
    <row r="30">
      <c r="A30">
        <f>IFERROR(INDEX('Mesários'!$A$2:$A$113,MATCH(SMALL('Mesários'!$J$2:$J$113,29),'Mesários'!$J$2:$J$113,0)),"")</f>
        <v/>
      </c>
      <c r="B30">
        <f>IFERROR(INDEX('Mesários'!$B$2:$B$113,MATCH(SMALL('Mesários'!$J$2:$J$113,29),'Mesários'!$J$2:$J$113,0)),"")</f>
        <v/>
      </c>
      <c r="C30">
        <f>IFERROR(INDEX('Mesários'!$C$2:$C$113,MATCH(SMALL('Mesários'!$J$2:$J$113,29),'Mesários'!$J$2:$J$113,0)),"")</f>
        <v/>
      </c>
      <c r="D30">
        <f>IFERROR(CHOOSE(MATCH(INDEX('Mesários'!$I$2:$I$113,MATCH(SMALL('Mesários'!$J$2:$J$113,29),'Mesários'!$J$2:$J$113,0)),{"Confirmar","Não deve comparecer","Vago"},0),"Contatar para confirmar presença","Recrutar substituto","Recrutar mesário (função vaga)"),"")</f>
        <v/>
      </c>
    </row>
    <row r="31">
      <c r="A31">
        <f>IFERROR(INDEX('Mesários'!$A$2:$A$113,MATCH(SMALL('Mesários'!$J$2:$J$113,30),'Mesários'!$J$2:$J$113,0)),"")</f>
        <v/>
      </c>
      <c r="B31">
        <f>IFERROR(INDEX('Mesários'!$B$2:$B$113,MATCH(SMALL('Mesários'!$J$2:$J$113,30),'Mesários'!$J$2:$J$113,0)),"")</f>
        <v/>
      </c>
      <c r="C31">
        <f>IFERROR(INDEX('Mesários'!$C$2:$C$113,MATCH(SMALL('Mesários'!$J$2:$J$113,30),'Mesários'!$J$2:$J$113,0)),"")</f>
        <v/>
      </c>
      <c r="D31">
        <f>IFERROR(CHOOSE(MATCH(INDEX('Mesários'!$I$2:$I$113,MATCH(SMALL('Mesários'!$J$2:$J$113,30),'Mesários'!$J$2:$J$113,0)),{"Confirmar","Não deve comparecer","Vago"},0),"Contatar para confirmar presença","Recrutar substituto","Recrutar mesário (função vaga)"),"")</f>
        <v/>
      </c>
    </row>
    <row r="32">
      <c r="A32">
        <f>IFERROR(INDEX('Mesários'!$A$2:$A$113,MATCH(SMALL('Mesários'!$J$2:$J$113,31),'Mesários'!$J$2:$J$113,0)),"")</f>
        <v/>
      </c>
      <c r="B32">
        <f>IFERROR(INDEX('Mesários'!$B$2:$B$113,MATCH(SMALL('Mesários'!$J$2:$J$113,31),'Mesários'!$J$2:$J$113,0)),"")</f>
        <v/>
      </c>
      <c r="C32">
        <f>IFERROR(INDEX('Mesários'!$C$2:$C$113,MATCH(SMALL('Mesários'!$J$2:$J$113,31),'Mesários'!$J$2:$J$113,0)),"")</f>
        <v/>
      </c>
      <c r="D32">
        <f>IFERROR(CHOOSE(MATCH(INDEX('Mesários'!$I$2:$I$113,MATCH(SMALL('Mesários'!$J$2:$J$113,31),'Mesários'!$J$2:$J$113,0)),{"Confirmar","Não deve comparecer","Vago"},0),"Contatar para confirmar presença","Recrutar substituto","Recrutar mesário (função vaga)"),"")</f>
        <v/>
      </c>
    </row>
    <row r="33">
      <c r="A33">
        <f>IFERROR(INDEX('Mesários'!$A$2:$A$113,MATCH(SMALL('Mesários'!$J$2:$J$113,32),'Mesários'!$J$2:$J$113,0)),"")</f>
        <v/>
      </c>
      <c r="B33">
        <f>IFERROR(INDEX('Mesários'!$B$2:$B$113,MATCH(SMALL('Mesários'!$J$2:$J$113,32),'Mesários'!$J$2:$J$113,0)),"")</f>
        <v/>
      </c>
      <c r="C33">
        <f>IFERROR(INDEX('Mesários'!$C$2:$C$113,MATCH(SMALL('Mesários'!$J$2:$J$113,32),'Mesários'!$J$2:$J$113,0)),"")</f>
        <v/>
      </c>
      <c r="D33">
        <f>IFERROR(CHOOSE(MATCH(INDEX('Mesários'!$I$2:$I$113,MATCH(SMALL('Mesários'!$J$2:$J$113,32),'Mesários'!$J$2:$J$113,0)),{"Confirmar","Não deve comparecer","Vago"},0),"Contatar para confirmar presença","Recrutar substituto","Recrutar mesário (função vaga)"),"")</f>
        <v/>
      </c>
    </row>
    <row r="34">
      <c r="A34">
        <f>IFERROR(INDEX('Mesários'!$A$2:$A$113,MATCH(SMALL('Mesários'!$J$2:$J$113,33),'Mesários'!$J$2:$J$113,0)),"")</f>
        <v/>
      </c>
      <c r="B34">
        <f>IFERROR(INDEX('Mesários'!$B$2:$B$113,MATCH(SMALL('Mesários'!$J$2:$J$113,33),'Mesários'!$J$2:$J$113,0)),"")</f>
        <v/>
      </c>
      <c r="C34">
        <f>IFERROR(INDEX('Mesários'!$C$2:$C$113,MATCH(SMALL('Mesários'!$J$2:$J$113,33),'Mesários'!$J$2:$J$113,0)),"")</f>
        <v/>
      </c>
      <c r="D34">
        <f>IFERROR(CHOOSE(MATCH(INDEX('Mesários'!$I$2:$I$113,MATCH(SMALL('Mesários'!$J$2:$J$113,33),'Mesários'!$J$2:$J$113,0)),{"Confirmar","Não deve comparecer","Vago"},0),"Contatar para confirmar presença","Recrutar substituto","Recrutar mesário (função vaga)"),"")</f>
        <v/>
      </c>
    </row>
    <row r="35">
      <c r="A35">
        <f>IFERROR(INDEX('Mesários'!$A$2:$A$113,MATCH(SMALL('Mesários'!$J$2:$J$113,34),'Mesários'!$J$2:$J$113,0)),"")</f>
        <v/>
      </c>
      <c r="B35">
        <f>IFERROR(INDEX('Mesários'!$B$2:$B$113,MATCH(SMALL('Mesários'!$J$2:$J$113,34),'Mesários'!$J$2:$J$113,0)),"")</f>
        <v/>
      </c>
      <c r="C35">
        <f>IFERROR(INDEX('Mesários'!$C$2:$C$113,MATCH(SMALL('Mesários'!$J$2:$J$113,34),'Mesários'!$J$2:$J$113,0)),"")</f>
        <v/>
      </c>
      <c r="D35">
        <f>IFERROR(CHOOSE(MATCH(INDEX('Mesários'!$I$2:$I$113,MATCH(SMALL('Mesários'!$J$2:$J$113,34),'Mesários'!$J$2:$J$113,0)),{"Confirmar","Não deve comparecer","Vago"},0),"Contatar para confirmar presença","Recrutar substituto","Recrutar mesário (função vaga)"),"")</f>
        <v/>
      </c>
    </row>
    <row r="36">
      <c r="A36">
        <f>IFERROR(INDEX('Mesários'!$A$2:$A$113,MATCH(SMALL('Mesários'!$J$2:$J$113,35),'Mesários'!$J$2:$J$113,0)),"")</f>
        <v/>
      </c>
      <c r="B36">
        <f>IFERROR(INDEX('Mesários'!$B$2:$B$113,MATCH(SMALL('Mesários'!$J$2:$J$113,35),'Mesários'!$J$2:$J$113,0)),"")</f>
        <v/>
      </c>
      <c r="C36">
        <f>IFERROR(INDEX('Mesários'!$C$2:$C$113,MATCH(SMALL('Mesários'!$J$2:$J$113,35),'Mesários'!$J$2:$J$113,0)),"")</f>
        <v/>
      </c>
      <c r="D36">
        <f>IFERROR(CHOOSE(MATCH(INDEX('Mesários'!$I$2:$I$113,MATCH(SMALL('Mesários'!$J$2:$J$113,35),'Mesários'!$J$2:$J$113,0)),{"Confirmar","Não deve comparecer","Vago"},0),"Contatar para confirmar presença","Recrutar substituto","Recrutar mesário (função vaga)"),"")</f>
        <v/>
      </c>
    </row>
    <row r="37">
      <c r="A37">
        <f>IFERROR(INDEX('Mesários'!$A$2:$A$113,MATCH(SMALL('Mesários'!$J$2:$J$113,36),'Mesários'!$J$2:$J$113,0)),"")</f>
        <v/>
      </c>
      <c r="B37">
        <f>IFERROR(INDEX('Mesários'!$B$2:$B$113,MATCH(SMALL('Mesários'!$J$2:$J$113,36),'Mesários'!$J$2:$J$113,0)),"")</f>
        <v/>
      </c>
      <c r="C37">
        <f>IFERROR(INDEX('Mesários'!$C$2:$C$113,MATCH(SMALL('Mesários'!$J$2:$J$113,36),'Mesários'!$J$2:$J$113,0)),"")</f>
        <v/>
      </c>
      <c r="D37">
        <f>IFERROR(CHOOSE(MATCH(INDEX('Mesários'!$I$2:$I$113,MATCH(SMALL('Mesários'!$J$2:$J$113,36),'Mesários'!$J$2:$J$113,0)),{"Confirmar","Não deve comparecer","Vago"},0),"Contatar para confirmar presença","Recrutar substituto","Recrutar mesário (função vaga)"),"")</f>
        <v/>
      </c>
    </row>
    <row r="38">
      <c r="A38">
        <f>IFERROR(INDEX('Mesários'!$A$2:$A$113,MATCH(SMALL('Mesários'!$J$2:$J$113,37),'Mesários'!$J$2:$J$113,0)),"")</f>
        <v/>
      </c>
      <c r="B38">
        <f>IFERROR(INDEX('Mesários'!$B$2:$B$113,MATCH(SMALL('Mesários'!$J$2:$J$113,37),'Mesários'!$J$2:$J$113,0)),"")</f>
        <v/>
      </c>
      <c r="C38">
        <f>IFERROR(INDEX('Mesários'!$C$2:$C$113,MATCH(SMALL('Mesários'!$J$2:$J$113,37),'Mesários'!$J$2:$J$113,0)),"")</f>
        <v/>
      </c>
      <c r="D38">
        <f>IFERROR(CHOOSE(MATCH(INDEX('Mesários'!$I$2:$I$113,MATCH(SMALL('Mesários'!$J$2:$J$113,37),'Mesários'!$J$2:$J$113,0)),{"Confirmar","Não deve comparecer","Vago"},0),"Contatar para confirmar presença","Recrutar substituto","Recrutar mesário (função vaga)"),"")</f>
        <v/>
      </c>
    </row>
    <row r="39">
      <c r="A39">
        <f>IFERROR(INDEX('Mesários'!$A$2:$A$113,MATCH(SMALL('Mesários'!$J$2:$J$113,38),'Mesários'!$J$2:$J$113,0)),"")</f>
        <v/>
      </c>
      <c r="B39">
        <f>IFERROR(INDEX('Mesários'!$B$2:$B$113,MATCH(SMALL('Mesários'!$J$2:$J$113,38),'Mesários'!$J$2:$J$113,0)),"")</f>
        <v/>
      </c>
      <c r="C39">
        <f>IFERROR(INDEX('Mesários'!$C$2:$C$113,MATCH(SMALL('Mesários'!$J$2:$J$113,38),'Mesários'!$J$2:$J$113,0)),"")</f>
        <v/>
      </c>
      <c r="D39">
        <f>IFERROR(CHOOSE(MATCH(INDEX('Mesários'!$I$2:$I$113,MATCH(SMALL('Mesários'!$J$2:$J$113,38),'Mesários'!$J$2:$J$113,0)),{"Confirmar","Não deve comparecer","Vago"},0),"Contatar para confirmar presença","Recrutar substituto","Recrutar mesário (função vaga)"),"")</f>
        <v/>
      </c>
    </row>
    <row r="40">
      <c r="A40">
        <f>IFERROR(INDEX('Mesários'!$A$2:$A$113,MATCH(SMALL('Mesários'!$J$2:$J$113,39),'Mesários'!$J$2:$J$113,0)),"")</f>
        <v/>
      </c>
      <c r="B40">
        <f>IFERROR(INDEX('Mesários'!$B$2:$B$113,MATCH(SMALL('Mesários'!$J$2:$J$113,39),'Mesários'!$J$2:$J$113,0)),"")</f>
        <v/>
      </c>
      <c r="C40">
        <f>IFERROR(INDEX('Mesários'!$C$2:$C$113,MATCH(SMALL('Mesários'!$J$2:$J$113,39),'Mesários'!$J$2:$J$113,0)),"")</f>
        <v/>
      </c>
      <c r="D40">
        <f>IFERROR(CHOOSE(MATCH(INDEX('Mesários'!$I$2:$I$113,MATCH(SMALL('Mesários'!$J$2:$J$113,39),'Mesários'!$J$2:$J$113,0)),{"Confirmar","Não deve comparecer","Vago"},0),"Contatar para confirmar presença","Recrutar substituto","Recrutar mesário (função vaga)"),"")</f>
        <v/>
      </c>
    </row>
    <row r="41">
      <c r="A41">
        <f>IFERROR(INDEX('Mesários'!$A$2:$A$113,MATCH(SMALL('Mesários'!$J$2:$J$113,40),'Mesários'!$J$2:$J$113,0)),"")</f>
        <v/>
      </c>
      <c r="B41">
        <f>IFERROR(INDEX('Mesários'!$B$2:$B$113,MATCH(SMALL('Mesários'!$J$2:$J$113,40),'Mesários'!$J$2:$J$113,0)),"")</f>
        <v/>
      </c>
      <c r="C41">
        <f>IFERROR(INDEX('Mesários'!$C$2:$C$113,MATCH(SMALL('Mesários'!$J$2:$J$113,40),'Mesários'!$J$2:$J$113,0)),"")</f>
        <v/>
      </c>
      <c r="D41">
        <f>IFERROR(CHOOSE(MATCH(INDEX('Mesários'!$I$2:$I$113,MATCH(SMALL('Mesários'!$J$2:$J$113,40),'Mesários'!$J$2:$J$113,0)),{"Confirmar","Não deve comparecer","Vago"},0),"Contatar para confirmar presença","Recrutar substituto","Recrutar mesário (função vaga)"),"")</f>
        <v/>
      </c>
    </row>
    <row r="42">
      <c r="A42">
        <f>IFERROR(INDEX('Mesários'!$A$2:$A$113,MATCH(SMALL('Mesários'!$J$2:$J$113,41),'Mesários'!$J$2:$J$113,0)),"")</f>
        <v/>
      </c>
      <c r="B42">
        <f>IFERROR(INDEX('Mesários'!$B$2:$B$113,MATCH(SMALL('Mesários'!$J$2:$J$113,41),'Mesários'!$J$2:$J$113,0)),"")</f>
        <v/>
      </c>
      <c r="C42">
        <f>IFERROR(INDEX('Mesários'!$C$2:$C$113,MATCH(SMALL('Mesários'!$J$2:$J$113,41),'Mesários'!$J$2:$J$113,0)),"")</f>
        <v/>
      </c>
      <c r="D42">
        <f>IFERROR(CHOOSE(MATCH(INDEX('Mesários'!$I$2:$I$113,MATCH(SMALL('Mesários'!$J$2:$J$113,41),'Mesários'!$J$2:$J$113,0)),{"Confirmar","Não deve comparecer","Vago"},0),"Contatar para confirmar presença","Recrutar substituto","Recrutar mesário (função vaga)"),"")</f>
        <v/>
      </c>
    </row>
    <row r="43">
      <c r="A43">
        <f>IFERROR(INDEX('Mesários'!$A$2:$A$113,MATCH(SMALL('Mesários'!$J$2:$J$113,42),'Mesários'!$J$2:$J$113,0)),"")</f>
        <v/>
      </c>
      <c r="B43">
        <f>IFERROR(INDEX('Mesários'!$B$2:$B$113,MATCH(SMALL('Mesários'!$J$2:$J$113,42),'Mesários'!$J$2:$J$113,0)),"")</f>
        <v/>
      </c>
      <c r="C43">
        <f>IFERROR(INDEX('Mesários'!$C$2:$C$113,MATCH(SMALL('Mesários'!$J$2:$J$113,42),'Mesários'!$J$2:$J$113,0)),"")</f>
        <v/>
      </c>
      <c r="D43">
        <f>IFERROR(CHOOSE(MATCH(INDEX('Mesários'!$I$2:$I$113,MATCH(SMALL('Mesários'!$J$2:$J$113,42),'Mesários'!$J$2:$J$113,0)),{"Confirmar","Não deve comparecer","Vago"},0),"Contatar para confirmar presença","Recrutar substituto","Recrutar mesário (função vaga)"),"")</f>
        <v/>
      </c>
    </row>
    <row r="44">
      <c r="A44">
        <f>IFERROR(INDEX('Mesários'!$A$2:$A$113,MATCH(SMALL('Mesários'!$J$2:$J$113,43),'Mesários'!$J$2:$J$113,0)),"")</f>
        <v/>
      </c>
      <c r="B44">
        <f>IFERROR(INDEX('Mesários'!$B$2:$B$113,MATCH(SMALL('Mesários'!$J$2:$J$113,43),'Mesários'!$J$2:$J$113,0)),"")</f>
        <v/>
      </c>
      <c r="C44">
        <f>IFERROR(INDEX('Mesários'!$C$2:$C$113,MATCH(SMALL('Mesários'!$J$2:$J$113,43),'Mesários'!$J$2:$J$113,0)),"")</f>
        <v/>
      </c>
      <c r="D44">
        <f>IFERROR(CHOOSE(MATCH(INDEX('Mesários'!$I$2:$I$113,MATCH(SMALL('Mesários'!$J$2:$J$113,43),'Mesários'!$J$2:$J$113,0)),{"Confirmar","Não deve comparecer","Vago"},0),"Contatar para confirmar presença","Recrutar substituto","Recrutar mesário (função vaga)"),"")</f>
        <v/>
      </c>
    </row>
    <row r="45">
      <c r="A45">
        <f>IFERROR(INDEX('Mesários'!$A$2:$A$113,MATCH(SMALL('Mesários'!$J$2:$J$113,44),'Mesários'!$J$2:$J$113,0)),"")</f>
        <v/>
      </c>
      <c r="B45">
        <f>IFERROR(INDEX('Mesários'!$B$2:$B$113,MATCH(SMALL('Mesários'!$J$2:$J$113,44),'Mesários'!$J$2:$J$113,0)),"")</f>
        <v/>
      </c>
      <c r="C45">
        <f>IFERROR(INDEX('Mesários'!$C$2:$C$113,MATCH(SMALL('Mesários'!$J$2:$J$113,44),'Mesários'!$J$2:$J$113,0)),"")</f>
        <v/>
      </c>
      <c r="D45">
        <f>IFERROR(CHOOSE(MATCH(INDEX('Mesários'!$I$2:$I$113,MATCH(SMALL('Mesários'!$J$2:$J$113,44),'Mesários'!$J$2:$J$113,0)),{"Confirmar","Não deve comparecer","Vago"},0),"Contatar para confirmar presença","Recrutar substituto","Recrutar mesário (função vaga)"),"")</f>
        <v/>
      </c>
    </row>
    <row r="46">
      <c r="A46">
        <f>IFERROR(INDEX('Mesários'!$A$2:$A$113,MATCH(SMALL('Mesários'!$J$2:$J$113,45),'Mesários'!$J$2:$J$113,0)),"")</f>
        <v/>
      </c>
      <c r="B46">
        <f>IFERROR(INDEX('Mesários'!$B$2:$B$113,MATCH(SMALL('Mesários'!$J$2:$J$113,45),'Mesários'!$J$2:$J$113,0)),"")</f>
        <v/>
      </c>
      <c r="C46">
        <f>IFERROR(INDEX('Mesários'!$C$2:$C$113,MATCH(SMALL('Mesários'!$J$2:$J$113,45),'Mesários'!$J$2:$J$113,0)),"")</f>
        <v/>
      </c>
      <c r="D46">
        <f>IFERROR(CHOOSE(MATCH(INDEX('Mesários'!$I$2:$I$113,MATCH(SMALL('Mesários'!$J$2:$J$113,45),'Mesários'!$J$2:$J$113,0)),{"Confirmar","Não deve comparecer","Vago"},0),"Contatar para confirmar presença","Recrutar substituto","Recrutar mesário (função vaga)"),"")</f>
        <v/>
      </c>
    </row>
    <row r="47">
      <c r="A47">
        <f>IFERROR(INDEX('Mesários'!$A$2:$A$113,MATCH(SMALL('Mesários'!$J$2:$J$113,46),'Mesários'!$J$2:$J$113,0)),"")</f>
        <v/>
      </c>
      <c r="B47">
        <f>IFERROR(INDEX('Mesários'!$B$2:$B$113,MATCH(SMALL('Mesários'!$J$2:$J$113,46),'Mesários'!$J$2:$J$113,0)),"")</f>
        <v/>
      </c>
      <c r="C47">
        <f>IFERROR(INDEX('Mesários'!$C$2:$C$113,MATCH(SMALL('Mesários'!$J$2:$J$113,46),'Mesários'!$J$2:$J$113,0)),"")</f>
        <v/>
      </c>
      <c r="D47">
        <f>IFERROR(CHOOSE(MATCH(INDEX('Mesários'!$I$2:$I$113,MATCH(SMALL('Mesários'!$J$2:$J$113,46),'Mesários'!$J$2:$J$113,0)),{"Confirmar","Não deve comparecer","Vago"},0),"Contatar para confirmar presença","Recrutar substituto","Recrutar mesário (função vaga)"),"")</f>
        <v/>
      </c>
    </row>
    <row r="48">
      <c r="A48">
        <f>IFERROR(INDEX('Mesários'!$A$2:$A$113,MATCH(SMALL('Mesários'!$J$2:$J$113,47),'Mesários'!$J$2:$J$113,0)),"")</f>
        <v/>
      </c>
      <c r="B48">
        <f>IFERROR(INDEX('Mesários'!$B$2:$B$113,MATCH(SMALL('Mesários'!$J$2:$J$113,47),'Mesários'!$J$2:$J$113,0)),"")</f>
        <v/>
      </c>
      <c r="C48">
        <f>IFERROR(INDEX('Mesários'!$C$2:$C$113,MATCH(SMALL('Mesários'!$J$2:$J$113,47),'Mesários'!$J$2:$J$113,0)),"")</f>
        <v/>
      </c>
      <c r="D48">
        <f>IFERROR(CHOOSE(MATCH(INDEX('Mesários'!$I$2:$I$113,MATCH(SMALL('Mesários'!$J$2:$J$113,47),'Mesários'!$J$2:$J$113,0)),{"Confirmar","Não deve comparecer","Vago"},0),"Contatar para confirmar presença","Recrutar substituto","Recrutar mesário (função vaga)"),"")</f>
        <v/>
      </c>
    </row>
    <row r="49">
      <c r="A49">
        <f>IFERROR(INDEX('Mesários'!$A$2:$A$113,MATCH(SMALL('Mesários'!$J$2:$J$113,48),'Mesários'!$J$2:$J$113,0)),"")</f>
        <v/>
      </c>
      <c r="B49">
        <f>IFERROR(INDEX('Mesários'!$B$2:$B$113,MATCH(SMALL('Mesários'!$J$2:$J$113,48),'Mesários'!$J$2:$J$113,0)),"")</f>
        <v/>
      </c>
      <c r="C49">
        <f>IFERROR(INDEX('Mesários'!$C$2:$C$113,MATCH(SMALL('Mesários'!$J$2:$J$113,48),'Mesários'!$J$2:$J$113,0)),"")</f>
        <v/>
      </c>
      <c r="D49">
        <f>IFERROR(CHOOSE(MATCH(INDEX('Mesários'!$I$2:$I$113,MATCH(SMALL('Mesários'!$J$2:$J$113,48),'Mesários'!$J$2:$J$113,0)),{"Confirmar","Não deve comparecer","Vago"},0),"Contatar para confirmar presença","Recrutar substituto","Recrutar mesário (função vaga)"),"")</f>
        <v/>
      </c>
    </row>
    <row r="50">
      <c r="A50">
        <f>IFERROR(INDEX('Mesários'!$A$2:$A$113,MATCH(SMALL('Mesários'!$J$2:$J$113,49),'Mesários'!$J$2:$J$113,0)),"")</f>
        <v/>
      </c>
      <c r="B50">
        <f>IFERROR(INDEX('Mesários'!$B$2:$B$113,MATCH(SMALL('Mesários'!$J$2:$J$113,49),'Mesários'!$J$2:$J$113,0)),"")</f>
        <v/>
      </c>
      <c r="C50">
        <f>IFERROR(INDEX('Mesários'!$C$2:$C$113,MATCH(SMALL('Mesários'!$J$2:$J$113,49),'Mesários'!$J$2:$J$113,0)),"")</f>
        <v/>
      </c>
      <c r="D50">
        <f>IFERROR(CHOOSE(MATCH(INDEX('Mesários'!$I$2:$I$113,MATCH(SMALL('Mesários'!$J$2:$J$113,49),'Mesários'!$J$2:$J$113,0)),{"Confirmar","Não deve comparecer","Vago"},0),"Contatar para confirmar presença","Recrutar substituto","Recrutar mesário (função vaga)"),"")</f>
        <v/>
      </c>
    </row>
    <row r="51">
      <c r="A51">
        <f>IFERROR(INDEX('Mesários'!$A$2:$A$113,MATCH(SMALL('Mesários'!$J$2:$J$113,50),'Mesários'!$J$2:$J$113,0)),"")</f>
        <v/>
      </c>
      <c r="B51">
        <f>IFERROR(INDEX('Mesários'!$B$2:$B$113,MATCH(SMALL('Mesários'!$J$2:$J$113,50),'Mesários'!$J$2:$J$113,0)),"")</f>
        <v/>
      </c>
      <c r="C51">
        <f>IFERROR(INDEX('Mesários'!$C$2:$C$113,MATCH(SMALL('Mesários'!$J$2:$J$113,50),'Mesários'!$J$2:$J$113,0)),"")</f>
        <v/>
      </c>
      <c r="D51">
        <f>IFERROR(CHOOSE(MATCH(INDEX('Mesários'!$I$2:$I$113,MATCH(SMALL('Mesários'!$J$2:$J$113,50),'Mesários'!$J$2:$J$113,0)),{"Confirmar","Não deve comparecer","Vago"},0),"Contatar para confirmar presença","Recrutar substituto","Recrutar mesário (função vaga)"),"")</f>
        <v/>
      </c>
    </row>
    <row r="52">
      <c r="A52">
        <f>IFERROR(INDEX('Mesários'!$A$2:$A$113,MATCH(SMALL('Mesários'!$J$2:$J$113,51),'Mesários'!$J$2:$J$113,0)),"")</f>
        <v/>
      </c>
      <c r="B52">
        <f>IFERROR(INDEX('Mesários'!$B$2:$B$113,MATCH(SMALL('Mesários'!$J$2:$J$113,51),'Mesários'!$J$2:$J$113,0)),"")</f>
        <v/>
      </c>
      <c r="C52">
        <f>IFERROR(INDEX('Mesários'!$C$2:$C$113,MATCH(SMALL('Mesários'!$J$2:$J$113,51),'Mesários'!$J$2:$J$113,0)),"")</f>
        <v/>
      </c>
      <c r="D52">
        <f>IFERROR(CHOOSE(MATCH(INDEX('Mesários'!$I$2:$I$113,MATCH(SMALL('Mesários'!$J$2:$J$113,51),'Mesários'!$J$2:$J$113,0)),{"Confirmar","Não deve comparecer","Vago"},0),"Contatar para confirmar presença","Recrutar substituto","Recrutar mesário (função vaga)"),"")</f>
        <v/>
      </c>
    </row>
    <row r="53">
      <c r="A53">
        <f>IFERROR(INDEX('Mesários'!$A$2:$A$113,MATCH(SMALL('Mesários'!$J$2:$J$113,52),'Mesários'!$J$2:$J$113,0)),"")</f>
        <v/>
      </c>
      <c r="B53">
        <f>IFERROR(INDEX('Mesários'!$B$2:$B$113,MATCH(SMALL('Mesários'!$J$2:$J$113,52),'Mesários'!$J$2:$J$113,0)),"")</f>
        <v/>
      </c>
      <c r="C53">
        <f>IFERROR(INDEX('Mesários'!$C$2:$C$113,MATCH(SMALL('Mesários'!$J$2:$J$113,52),'Mesários'!$J$2:$J$113,0)),"")</f>
        <v/>
      </c>
      <c r="D53">
        <f>IFERROR(CHOOSE(MATCH(INDEX('Mesários'!$I$2:$I$113,MATCH(SMALL('Mesários'!$J$2:$J$113,52),'Mesários'!$J$2:$J$113,0)),{"Confirmar","Não deve comparecer","Vago"},0),"Contatar para confirmar presença","Recrutar substituto","Recrutar mesário (função vaga)"),"")</f>
        <v/>
      </c>
    </row>
    <row r="54">
      <c r="A54">
        <f>IFERROR(INDEX('Mesários'!$A$2:$A$113,MATCH(SMALL('Mesários'!$J$2:$J$113,53),'Mesários'!$J$2:$J$113,0)),"")</f>
        <v/>
      </c>
      <c r="B54">
        <f>IFERROR(INDEX('Mesários'!$B$2:$B$113,MATCH(SMALL('Mesários'!$J$2:$J$113,53),'Mesários'!$J$2:$J$113,0)),"")</f>
        <v/>
      </c>
      <c r="C54">
        <f>IFERROR(INDEX('Mesários'!$C$2:$C$113,MATCH(SMALL('Mesários'!$J$2:$J$113,53),'Mesários'!$J$2:$J$113,0)),"")</f>
        <v/>
      </c>
      <c r="D54">
        <f>IFERROR(CHOOSE(MATCH(INDEX('Mesários'!$I$2:$I$113,MATCH(SMALL('Mesários'!$J$2:$J$113,53),'Mesários'!$J$2:$J$113,0)),{"Confirmar","Não deve comparecer","Vago"},0),"Contatar para confirmar presença","Recrutar substituto","Recrutar mesário (função vaga)"),"")</f>
        <v/>
      </c>
    </row>
    <row r="55">
      <c r="A55">
        <f>IFERROR(INDEX('Mesários'!$A$2:$A$113,MATCH(SMALL('Mesários'!$J$2:$J$113,54),'Mesários'!$J$2:$J$113,0)),"")</f>
        <v/>
      </c>
      <c r="B55">
        <f>IFERROR(INDEX('Mesários'!$B$2:$B$113,MATCH(SMALL('Mesários'!$J$2:$J$113,54),'Mesários'!$J$2:$J$113,0)),"")</f>
        <v/>
      </c>
      <c r="C55">
        <f>IFERROR(INDEX('Mesários'!$C$2:$C$113,MATCH(SMALL('Mesários'!$J$2:$J$113,54),'Mesários'!$J$2:$J$113,0)),"")</f>
        <v/>
      </c>
      <c r="D55">
        <f>IFERROR(CHOOSE(MATCH(INDEX('Mesários'!$I$2:$I$113,MATCH(SMALL('Mesários'!$J$2:$J$113,54),'Mesários'!$J$2:$J$113,0)),{"Confirmar","Não deve comparecer","Vago"},0),"Contatar para confirmar presença","Recrutar substituto","Recrutar mesário (função vaga)"),"")</f>
        <v/>
      </c>
    </row>
    <row r="56">
      <c r="A56">
        <f>IFERROR(INDEX('Mesários'!$A$2:$A$113,MATCH(SMALL('Mesários'!$J$2:$J$113,55),'Mesários'!$J$2:$J$113,0)),"")</f>
        <v/>
      </c>
      <c r="B56">
        <f>IFERROR(INDEX('Mesários'!$B$2:$B$113,MATCH(SMALL('Mesários'!$J$2:$J$113,55),'Mesários'!$J$2:$J$113,0)),"")</f>
        <v/>
      </c>
      <c r="C56">
        <f>IFERROR(INDEX('Mesários'!$C$2:$C$113,MATCH(SMALL('Mesários'!$J$2:$J$113,55),'Mesários'!$J$2:$J$113,0)),"")</f>
        <v/>
      </c>
      <c r="D56">
        <f>IFERROR(CHOOSE(MATCH(INDEX('Mesários'!$I$2:$I$113,MATCH(SMALL('Mesários'!$J$2:$J$113,55),'Mesários'!$J$2:$J$113,0)),{"Confirmar","Não deve comparecer","Vago"},0),"Contatar para confirmar presença","Recrutar substituto","Recrutar mesário (função vaga)"),"")</f>
        <v/>
      </c>
    </row>
    <row r="57">
      <c r="A57">
        <f>IFERROR(INDEX('Mesários'!$A$2:$A$113,MATCH(SMALL('Mesários'!$J$2:$J$113,56),'Mesários'!$J$2:$J$113,0)),"")</f>
        <v/>
      </c>
      <c r="B57">
        <f>IFERROR(INDEX('Mesários'!$B$2:$B$113,MATCH(SMALL('Mesários'!$J$2:$J$113,56),'Mesários'!$J$2:$J$113,0)),"")</f>
        <v/>
      </c>
      <c r="C57">
        <f>IFERROR(INDEX('Mesários'!$C$2:$C$113,MATCH(SMALL('Mesários'!$J$2:$J$113,56),'Mesários'!$J$2:$J$113,0)),"")</f>
        <v/>
      </c>
      <c r="D57">
        <f>IFERROR(CHOOSE(MATCH(INDEX('Mesários'!$I$2:$I$113,MATCH(SMALL('Mesários'!$J$2:$J$113,56),'Mesários'!$J$2:$J$113,0)),{"Confirmar","Não deve comparecer","Vago"},0),"Contatar para confirmar presença","Recrutar substituto","Recrutar mesário (função vaga)"),"")</f>
        <v/>
      </c>
    </row>
    <row r="58">
      <c r="A58">
        <f>IFERROR(INDEX('Mesários'!$A$2:$A$113,MATCH(SMALL('Mesários'!$J$2:$J$113,57),'Mesários'!$J$2:$J$113,0)),"")</f>
        <v/>
      </c>
      <c r="B58">
        <f>IFERROR(INDEX('Mesários'!$B$2:$B$113,MATCH(SMALL('Mesários'!$J$2:$J$113,57),'Mesários'!$J$2:$J$113,0)),"")</f>
        <v/>
      </c>
      <c r="C58">
        <f>IFERROR(INDEX('Mesários'!$C$2:$C$113,MATCH(SMALL('Mesários'!$J$2:$J$113,57),'Mesários'!$J$2:$J$113,0)),"")</f>
        <v/>
      </c>
      <c r="D58">
        <f>IFERROR(CHOOSE(MATCH(INDEX('Mesários'!$I$2:$I$113,MATCH(SMALL('Mesários'!$J$2:$J$113,57),'Mesários'!$J$2:$J$113,0)),{"Confirmar","Não deve comparecer","Vago"},0),"Contatar para confirmar presença","Recrutar substituto","Recrutar mesário (função vaga)"),"")</f>
        <v/>
      </c>
    </row>
    <row r="59">
      <c r="A59">
        <f>IFERROR(INDEX('Mesários'!$A$2:$A$113,MATCH(SMALL('Mesários'!$J$2:$J$113,58),'Mesários'!$J$2:$J$113,0)),"")</f>
        <v/>
      </c>
      <c r="B59">
        <f>IFERROR(INDEX('Mesários'!$B$2:$B$113,MATCH(SMALL('Mesários'!$J$2:$J$113,58),'Mesários'!$J$2:$J$113,0)),"")</f>
        <v/>
      </c>
      <c r="C59">
        <f>IFERROR(INDEX('Mesários'!$C$2:$C$113,MATCH(SMALL('Mesários'!$J$2:$J$113,58),'Mesários'!$J$2:$J$113,0)),"")</f>
        <v/>
      </c>
      <c r="D59">
        <f>IFERROR(CHOOSE(MATCH(INDEX('Mesários'!$I$2:$I$113,MATCH(SMALL('Mesários'!$J$2:$J$113,58),'Mesários'!$J$2:$J$113,0)),{"Confirmar","Não deve comparecer","Vago"},0),"Contatar para confirmar presença","Recrutar substituto","Recrutar mesário (função vaga)"),"")</f>
        <v/>
      </c>
    </row>
    <row r="60">
      <c r="A60">
        <f>IFERROR(INDEX('Mesários'!$A$2:$A$113,MATCH(SMALL('Mesários'!$J$2:$J$113,59),'Mesários'!$J$2:$J$113,0)),"")</f>
        <v/>
      </c>
      <c r="B60">
        <f>IFERROR(INDEX('Mesários'!$B$2:$B$113,MATCH(SMALL('Mesários'!$J$2:$J$113,59),'Mesários'!$J$2:$J$113,0)),"")</f>
        <v/>
      </c>
      <c r="C60">
        <f>IFERROR(INDEX('Mesários'!$C$2:$C$113,MATCH(SMALL('Mesários'!$J$2:$J$113,59),'Mesários'!$J$2:$J$113,0)),"")</f>
        <v/>
      </c>
      <c r="D60">
        <f>IFERROR(CHOOSE(MATCH(INDEX('Mesários'!$I$2:$I$113,MATCH(SMALL('Mesários'!$J$2:$J$113,59),'Mesários'!$J$2:$J$113,0)),{"Confirmar","Não deve comparecer","Vago"},0),"Contatar para confirmar presença","Recrutar substituto","Recrutar mesário (função vaga)"),"")</f>
        <v/>
      </c>
    </row>
    <row r="61">
      <c r="A61">
        <f>IFERROR(INDEX('Mesários'!$A$2:$A$113,MATCH(SMALL('Mesários'!$J$2:$J$113,60),'Mesários'!$J$2:$J$113,0)),"")</f>
        <v/>
      </c>
      <c r="B61">
        <f>IFERROR(INDEX('Mesários'!$B$2:$B$113,MATCH(SMALL('Mesários'!$J$2:$J$113,60),'Mesários'!$J$2:$J$113,0)),"")</f>
        <v/>
      </c>
      <c r="C61">
        <f>IFERROR(INDEX('Mesários'!$C$2:$C$113,MATCH(SMALL('Mesários'!$J$2:$J$113,60),'Mesários'!$J$2:$J$113,0)),"")</f>
        <v/>
      </c>
      <c r="D61">
        <f>IFERROR(CHOOSE(MATCH(INDEX('Mesários'!$I$2:$I$113,MATCH(SMALL('Mesários'!$J$2:$J$113,60),'Mesários'!$J$2:$J$113,0)),{"Confirmar","Não deve comparecer","Vago"},0),"Contatar para confirmar presença","Recrutar substituto","Recrutar mesário (função vaga)"),"")</f>
        <v/>
      </c>
    </row>
    <row r="62">
      <c r="A62">
        <f>IFERROR(INDEX('Mesários'!$A$2:$A$113,MATCH(SMALL('Mesários'!$J$2:$J$113,61),'Mesários'!$J$2:$J$113,0)),"")</f>
        <v/>
      </c>
      <c r="B62">
        <f>IFERROR(INDEX('Mesários'!$B$2:$B$113,MATCH(SMALL('Mesários'!$J$2:$J$113,61),'Mesários'!$J$2:$J$113,0)),"")</f>
        <v/>
      </c>
      <c r="C62">
        <f>IFERROR(INDEX('Mesários'!$C$2:$C$113,MATCH(SMALL('Mesários'!$J$2:$J$113,61),'Mesários'!$J$2:$J$113,0)),"")</f>
        <v/>
      </c>
      <c r="D62">
        <f>IFERROR(CHOOSE(MATCH(INDEX('Mesários'!$I$2:$I$113,MATCH(SMALL('Mesários'!$J$2:$J$113,61),'Mesários'!$J$2:$J$113,0)),{"Confirmar","Não deve comparecer","Vago"},0),"Contatar para confirmar presença","Recrutar substituto","Recrutar mesário (função vaga)"),"")</f>
        <v/>
      </c>
    </row>
    <row r="63">
      <c r="A63">
        <f>IFERROR(INDEX('Mesários'!$A$2:$A$113,MATCH(SMALL('Mesários'!$J$2:$J$113,62),'Mesários'!$J$2:$J$113,0)),"")</f>
        <v/>
      </c>
      <c r="B63">
        <f>IFERROR(INDEX('Mesários'!$B$2:$B$113,MATCH(SMALL('Mesários'!$J$2:$J$113,62),'Mesários'!$J$2:$J$113,0)),"")</f>
        <v/>
      </c>
      <c r="C63">
        <f>IFERROR(INDEX('Mesários'!$C$2:$C$113,MATCH(SMALL('Mesários'!$J$2:$J$113,62),'Mesários'!$J$2:$J$113,0)),"")</f>
        <v/>
      </c>
      <c r="D63">
        <f>IFERROR(CHOOSE(MATCH(INDEX('Mesários'!$I$2:$I$113,MATCH(SMALL('Mesários'!$J$2:$J$113,62),'Mesários'!$J$2:$J$113,0)),{"Confirmar","Não deve comparecer","Vago"},0),"Contatar para confirmar presença","Recrutar substituto","Recrutar mesário (função vaga)"),"")</f>
        <v/>
      </c>
    </row>
    <row r="64">
      <c r="A64">
        <f>IFERROR(INDEX('Mesários'!$A$2:$A$113,MATCH(SMALL('Mesários'!$J$2:$J$113,63),'Mesários'!$J$2:$J$113,0)),"")</f>
        <v/>
      </c>
      <c r="B64">
        <f>IFERROR(INDEX('Mesários'!$B$2:$B$113,MATCH(SMALL('Mesários'!$J$2:$J$113,63),'Mesários'!$J$2:$J$113,0)),"")</f>
        <v/>
      </c>
      <c r="C64">
        <f>IFERROR(INDEX('Mesários'!$C$2:$C$113,MATCH(SMALL('Mesários'!$J$2:$J$113,63),'Mesários'!$J$2:$J$113,0)),"")</f>
        <v/>
      </c>
      <c r="D64">
        <f>IFERROR(CHOOSE(MATCH(INDEX('Mesários'!$I$2:$I$113,MATCH(SMALL('Mesários'!$J$2:$J$113,63),'Mesários'!$J$2:$J$113,0)),{"Confirmar","Não deve comparecer","Vago"},0),"Contatar para confirmar presença","Recrutar substituto","Recrutar mesário (função vaga)"),"")</f>
        <v/>
      </c>
    </row>
    <row r="65">
      <c r="A65">
        <f>IFERROR(INDEX('Mesários'!$A$2:$A$113,MATCH(SMALL('Mesários'!$J$2:$J$113,64),'Mesários'!$J$2:$J$113,0)),"")</f>
        <v/>
      </c>
      <c r="B65">
        <f>IFERROR(INDEX('Mesários'!$B$2:$B$113,MATCH(SMALL('Mesários'!$J$2:$J$113,64),'Mesários'!$J$2:$J$113,0)),"")</f>
        <v/>
      </c>
      <c r="C65">
        <f>IFERROR(INDEX('Mesários'!$C$2:$C$113,MATCH(SMALL('Mesários'!$J$2:$J$113,64),'Mesários'!$J$2:$J$113,0)),"")</f>
        <v/>
      </c>
      <c r="D65">
        <f>IFERROR(CHOOSE(MATCH(INDEX('Mesários'!$I$2:$I$113,MATCH(SMALL('Mesários'!$J$2:$J$113,64),'Mesários'!$J$2:$J$113,0)),{"Confirmar","Não deve comparecer","Vago"},0),"Contatar para confirmar presença","Recrutar substituto","Recrutar mesário (função vaga)"),"")</f>
        <v/>
      </c>
    </row>
    <row r="66">
      <c r="A66">
        <f>IFERROR(INDEX('Mesários'!$A$2:$A$113,MATCH(SMALL('Mesários'!$J$2:$J$113,65),'Mesários'!$J$2:$J$113,0)),"")</f>
        <v/>
      </c>
      <c r="B66">
        <f>IFERROR(INDEX('Mesários'!$B$2:$B$113,MATCH(SMALL('Mesários'!$J$2:$J$113,65),'Mesários'!$J$2:$J$113,0)),"")</f>
        <v/>
      </c>
      <c r="C66">
        <f>IFERROR(INDEX('Mesários'!$C$2:$C$113,MATCH(SMALL('Mesários'!$J$2:$J$113,65),'Mesários'!$J$2:$J$113,0)),"")</f>
        <v/>
      </c>
      <c r="D66">
        <f>IFERROR(CHOOSE(MATCH(INDEX('Mesários'!$I$2:$I$113,MATCH(SMALL('Mesários'!$J$2:$J$113,65),'Mesários'!$J$2:$J$113,0)),{"Confirmar","Não deve comparecer","Vago"},0),"Contatar para confirmar presença","Recrutar substituto","Recrutar mesário (função vaga)"),"")</f>
        <v/>
      </c>
    </row>
    <row r="67">
      <c r="A67">
        <f>IFERROR(INDEX('Mesários'!$A$2:$A$113,MATCH(SMALL('Mesários'!$J$2:$J$113,66),'Mesários'!$J$2:$J$113,0)),"")</f>
        <v/>
      </c>
      <c r="B67">
        <f>IFERROR(INDEX('Mesários'!$B$2:$B$113,MATCH(SMALL('Mesários'!$J$2:$J$113,66),'Mesários'!$J$2:$J$113,0)),"")</f>
        <v/>
      </c>
      <c r="C67">
        <f>IFERROR(INDEX('Mesários'!$C$2:$C$113,MATCH(SMALL('Mesários'!$J$2:$J$113,66),'Mesários'!$J$2:$J$113,0)),"")</f>
        <v/>
      </c>
      <c r="D67">
        <f>IFERROR(CHOOSE(MATCH(INDEX('Mesários'!$I$2:$I$113,MATCH(SMALL('Mesários'!$J$2:$J$113,66),'Mesários'!$J$2:$J$113,0)),{"Confirmar","Não deve comparecer","Vago"},0),"Contatar para confirmar presença","Recrutar substituto","Recrutar mesário (função vaga)"),"")</f>
        <v/>
      </c>
    </row>
    <row r="68">
      <c r="A68">
        <f>IFERROR(INDEX('Mesários'!$A$2:$A$113,MATCH(SMALL('Mesários'!$J$2:$J$113,67),'Mesários'!$J$2:$J$113,0)),"")</f>
        <v/>
      </c>
      <c r="B68">
        <f>IFERROR(INDEX('Mesários'!$B$2:$B$113,MATCH(SMALL('Mesários'!$J$2:$J$113,67),'Mesários'!$J$2:$J$113,0)),"")</f>
        <v/>
      </c>
      <c r="C68">
        <f>IFERROR(INDEX('Mesários'!$C$2:$C$113,MATCH(SMALL('Mesários'!$J$2:$J$113,67),'Mesários'!$J$2:$J$113,0)),"")</f>
        <v/>
      </c>
      <c r="D68">
        <f>IFERROR(CHOOSE(MATCH(INDEX('Mesários'!$I$2:$I$113,MATCH(SMALL('Mesários'!$J$2:$J$113,67),'Mesários'!$J$2:$J$113,0)),{"Confirmar","Não deve comparecer","Vago"},0),"Contatar para confirmar presença","Recrutar substituto","Recrutar mesário (função vaga)"),"")</f>
        <v/>
      </c>
    </row>
    <row r="69">
      <c r="A69">
        <f>IFERROR(INDEX('Mesários'!$A$2:$A$113,MATCH(SMALL('Mesários'!$J$2:$J$113,68),'Mesários'!$J$2:$J$113,0)),"")</f>
        <v/>
      </c>
      <c r="B69">
        <f>IFERROR(INDEX('Mesários'!$B$2:$B$113,MATCH(SMALL('Mesários'!$J$2:$J$113,68),'Mesários'!$J$2:$J$113,0)),"")</f>
        <v/>
      </c>
      <c r="C69">
        <f>IFERROR(INDEX('Mesários'!$C$2:$C$113,MATCH(SMALL('Mesários'!$J$2:$J$113,68),'Mesários'!$J$2:$J$113,0)),"")</f>
        <v/>
      </c>
      <c r="D69">
        <f>IFERROR(CHOOSE(MATCH(INDEX('Mesários'!$I$2:$I$113,MATCH(SMALL('Mesários'!$J$2:$J$113,68),'Mesários'!$J$2:$J$113,0)),{"Confirmar","Não deve comparecer","Vago"},0),"Contatar para confirmar presença","Recrutar substituto","Recrutar mesário (função vaga)"),"")</f>
        <v/>
      </c>
    </row>
    <row r="70">
      <c r="A70">
        <f>IFERROR(INDEX('Mesários'!$A$2:$A$113,MATCH(SMALL('Mesários'!$J$2:$J$113,69),'Mesários'!$J$2:$J$113,0)),"")</f>
        <v/>
      </c>
      <c r="B70">
        <f>IFERROR(INDEX('Mesários'!$B$2:$B$113,MATCH(SMALL('Mesários'!$J$2:$J$113,69),'Mesários'!$J$2:$J$113,0)),"")</f>
        <v/>
      </c>
      <c r="C70">
        <f>IFERROR(INDEX('Mesários'!$C$2:$C$113,MATCH(SMALL('Mesários'!$J$2:$J$113,69),'Mesários'!$J$2:$J$113,0)),"")</f>
        <v/>
      </c>
      <c r="D70">
        <f>IFERROR(CHOOSE(MATCH(INDEX('Mesários'!$I$2:$I$113,MATCH(SMALL('Mesários'!$J$2:$J$113,69),'Mesários'!$J$2:$J$113,0)),{"Confirmar","Não deve comparecer","Vago"},0),"Contatar para confirmar presença","Recrutar substituto","Recrutar mesário (função vaga)"),"")</f>
        <v/>
      </c>
    </row>
    <row r="71">
      <c r="A71">
        <f>IFERROR(INDEX('Mesários'!$A$2:$A$113,MATCH(SMALL('Mesários'!$J$2:$J$113,70),'Mesários'!$J$2:$J$113,0)),"")</f>
        <v/>
      </c>
      <c r="B71">
        <f>IFERROR(INDEX('Mesários'!$B$2:$B$113,MATCH(SMALL('Mesários'!$J$2:$J$113,70),'Mesários'!$J$2:$J$113,0)),"")</f>
        <v/>
      </c>
      <c r="C71">
        <f>IFERROR(INDEX('Mesários'!$C$2:$C$113,MATCH(SMALL('Mesários'!$J$2:$J$113,70),'Mesários'!$J$2:$J$113,0)),"")</f>
        <v/>
      </c>
      <c r="D71">
        <f>IFERROR(CHOOSE(MATCH(INDEX('Mesários'!$I$2:$I$113,MATCH(SMALL('Mesários'!$J$2:$J$113,70),'Mesários'!$J$2:$J$113,0)),{"Confirmar","Não deve comparecer","Vago"},0),"Contatar para confirmar presença","Recrutar substituto","Recrutar mesário (função vaga)"),"")</f>
        <v/>
      </c>
    </row>
    <row r="72">
      <c r="A72">
        <f>IFERROR(INDEX('Mesários'!$A$2:$A$113,MATCH(SMALL('Mesários'!$J$2:$J$113,71),'Mesários'!$J$2:$J$113,0)),"")</f>
        <v/>
      </c>
      <c r="B72">
        <f>IFERROR(INDEX('Mesários'!$B$2:$B$113,MATCH(SMALL('Mesários'!$J$2:$J$113,71),'Mesários'!$J$2:$J$113,0)),"")</f>
        <v/>
      </c>
      <c r="C72">
        <f>IFERROR(INDEX('Mesários'!$C$2:$C$113,MATCH(SMALL('Mesários'!$J$2:$J$113,71),'Mesários'!$J$2:$J$113,0)),"")</f>
        <v/>
      </c>
      <c r="D72">
        <f>IFERROR(CHOOSE(MATCH(INDEX('Mesários'!$I$2:$I$113,MATCH(SMALL('Mesários'!$J$2:$J$113,71),'Mesários'!$J$2:$J$113,0)),{"Confirmar","Não deve comparecer","Vago"},0),"Contatar para confirmar presença","Recrutar substituto","Recrutar mesário (função vaga)"),"")</f>
        <v/>
      </c>
    </row>
    <row r="73">
      <c r="A73">
        <f>IFERROR(INDEX('Mesários'!$A$2:$A$113,MATCH(SMALL('Mesários'!$J$2:$J$113,72),'Mesários'!$J$2:$J$113,0)),"")</f>
        <v/>
      </c>
      <c r="B73">
        <f>IFERROR(INDEX('Mesários'!$B$2:$B$113,MATCH(SMALL('Mesários'!$J$2:$J$113,72),'Mesários'!$J$2:$J$113,0)),"")</f>
        <v/>
      </c>
      <c r="C73">
        <f>IFERROR(INDEX('Mesários'!$C$2:$C$113,MATCH(SMALL('Mesários'!$J$2:$J$113,72),'Mesários'!$J$2:$J$113,0)),"")</f>
        <v/>
      </c>
      <c r="D73">
        <f>IFERROR(CHOOSE(MATCH(INDEX('Mesários'!$I$2:$I$113,MATCH(SMALL('Mesários'!$J$2:$J$113,72),'Mesários'!$J$2:$J$113,0)),{"Confirmar","Não deve comparecer","Vago"},0),"Contatar para confirmar presença","Recrutar substituto","Recrutar mesário (função vaga)"),"")</f>
        <v/>
      </c>
    </row>
    <row r="74">
      <c r="A74">
        <f>IFERROR(INDEX('Mesários'!$A$2:$A$113,MATCH(SMALL('Mesários'!$J$2:$J$113,73),'Mesários'!$J$2:$J$113,0)),"")</f>
        <v/>
      </c>
      <c r="B74">
        <f>IFERROR(INDEX('Mesários'!$B$2:$B$113,MATCH(SMALL('Mesários'!$J$2:$J$113,73),'Mesários'!$J$2:$J$113,0)),"")</f>
        <v/>
      </c>
      <c r="C74">
        <f>IFERROR(INDEX('Mesários'!$C$2:$C$113,MATCH(SMALL('Mesários'!$J$2:$J$113,73),'Mesários'!$J$2:$J$113,0)),"")</f>
        <v/>
      </c>
      <c r="D74">
        <f>IFERROR(CHOOSE(MATCH(INDEX('Mesários'!$I$2:$I$113,MATCH(SMALL('Mesários'!$J$2:$J$113,73),'Mesários'!$J$2:$J$113,0)),{"Confirmar","Não deve comparecer","Vago"},0),"Contatar para confirmar presença","Recrutar substituto","Recrutar mesário (função vaga)"),"")</f>
        <v/>
      </c>
    </row>
    <row r="75">
      <c r="A75">
        <f>IFERROR(INDEX('Mesários'!$A$2:$A$113,MATCH(SMALL('Mesários'!$J$2:$J$113,74),'Mesários'!$J$2:$J$113,0)),"")</f>
        <v/>
      </c>
      <c r="B75">
        <f>IFERROR(INDEX('Mesários'!$B$2:$B$113,MATCH(SMALL('Mesários'!$J$2:$J$113,74),'Mesários'!$J$2:$J$113,0)),"")</f>
        <v/>
      </c>
      <c r="C75">
        <f>IFERROR(INDEX('Mesários'!$C$2:$C$113,MATCH(SMALL('Mesários'!$J$2:$J$113,74),'Mesários'!$J$2:$J$113,0)),"")</f>
        <v/>
      </c>
      <c r="D75">
        <f>IFERROR(CHOOSE(MATCH(INDEX('Mesários'!$I$2:$I$113,MATCH(SMALL('Mesários'!$J$2:$J$113,74),'Mesários'!$J$2:$J$113,0)),{"Confirmar","Não deve comparecer","Vago"},0),"Contatar para confirmar presença","Recrutar substituto","Recrutar mesário (função vaga)"),"")</f>
        <v/>
      </c>
    </row>
    <row r="76">
      <c r="A76">
        <f>IFERROR(INDEX('Mesários'!$A$2:$A$113,MATCH(SMALL('Mesários'!$J$2:$J$113,75),'Mesários'!$J$2:$J$113,0)),"")</f>
        <v/>
      </c>
      <c r="B76">
        <f>IFERROR(INDEX('Mesários'!$B$2:$B$113,MATCH(SMALL('Mesários'!$J$2:$J$113,75),'Mesários'!$J$2:$J$113,0)),"")</f>
        <v/>
      </c>
      <c r="C76">
        <f>IFERROR(INDEX('Mesários'!$C$2:$C$113,MATCH(SMALL('Mesários'!$J$2:$J$113,75),'Mesários'!$J$2:$J$113,0)),"")</f>
        <v/>
      </c>
      <c r="D76">
        <f>IFERROR(CHOOSE(MATCH(INDEX('Mesários'!$I$2:$I$113,MATCH(SMALL('Mesários'!$J$2:$J$113,75),'Mesários'!$J$2:$J$113,0)),{"Confirmar","Não deve comparecer","Vago"},0),"Contatar para confirmar presença","Recrutar substituto","Recrutar mesário (função vaga)"),"")</f>
        <v/>
      </c>
    </row>
    <row r="77">
      <c r="A77">
        <f>IFERROR(INDEX('Mesários'!$A$2:$A$113,MATCH(SMALL('Mesários'!$J$2:$J$113,76),'Mesários'!$J$2:$J$113,0)),"")</f>
        <v/>
      </c>
      <c r="B77">
        <f>IFERROR(INDEX('Mesários'!$B$2:$B$113,MATCH(SMALL('Mesários'!$J$2:$J$113,76),'Mesários'!$J$2:$J$113,0)),"")</f>
        <v/>
      </c>
      <c r="C77">
        <f>IFERROR(INDEX('Mesários'!$C$2:$C$113,MATCH(SMALL('Mesários'!$J$2:$J$113,76),'Mesários'!$J$2:$J$113,0)),"")</f>
        <v/>
      </c>
      <c r="D77">
        <f>IFERROR(CHOOSE(MATCH(INDEX('Mesários'!$I$2:$I$113,MATCH(SMALL('Mesários'!$J$2:$J$113,76),'Mesários'!$J$2:$J$113,0)),{"Confirmar","Não deve comparecer","Vago"},0),"Contatar para confirmar presença","Recrutar substituto","Recrutar mesário (função vaga)"),"")</f>
        <v/>
      </c>
    </row>
    <row r="78">
      <c r="A78">
        <f>IFERROR(INDEX('Mesários'!$A$2:$A$113,MATCH(SMALL('Mesários'!$J$2:$J$113,77),'Mesários'!$J$2:$J$113,0)),"")</f>
        <v/>
      </c>
      <c r="B78">
        <f>IFERROR(INDEX('Mesários'!$B$2:$B$113,MATCH(SMALL('Mesários'!$J$2:$J$113,77),'Mesários'!$J$2:$J$113,0)),"")</f>
        <v/>
      </c>
      <c r="C78">
        <f>IFERROR(INDEX('Mesários'!$C$2:$C$113,MATCH(SMALL('Mesários'!$J$2:$J$113,77),'Mesários'!$J$2:$J$113,0)),"")</f>
        <v/>
      </c>
      <c r="D78">
        <f>IFERROR(CHOOSE(MATCH(INDEX('Mesários'!$I$2:$I$113,MATCH(SMALL('Mesários'!$J$2:$J$113,77),'Mesários'!$J$2:$J$113,0)),{"Confirmar","Não deve comparecer","Vago"},0),"Contatar para confirmar presença","Recrutar substituto","Recrutar mesário (função vaga)"),"")</f>
        <v/>
      </c>
    </row>
    <row r="79">
      <c r="A79">
        <f>IFERROR(INDEX('Mesários'!$A$2:$A$113,MATCH(SMALL('Mesários'!$J$2:$J$113,78),'Mesários'!$J$2:$J$113,0)),"")</f>
        <v/>
      </c>
      <c r="B79">
        <f>IFERROR(INDEX('Mesários'!$B$2:$B$113,MATCH(SMALL('Mesários'!$J$2:$J$113,78),'Mesários'!$J$2:$J$113,0)),"")</f>
        <v/>
      </c>
      <c r="C79">
        <f>IFERROR(INDEX('Mesários'!$C$2:$C$113,MATCH(SMALL('Mesários'!$J$2:$J$113,78),'Mesários'!$J$2:$J$113,0)),"")</f>
        <v/>
      </c>
      <c r="D79">
        <f>IFERROR(CHOOSE(MATCH(INDEX('Mesários'!$I$2:$I$113,MATCH(SMALL('Mesários'!$J$2:$J$113,78),'Mesários'!$J$2:$J$113,0)),{"Confirmar","Não deve comparecer","Vago"},0),"Contatar para confirmar presença","Recrutar substituto","Recrutar mesário (função vaga)"),"")</f>
        <v/>
      </c>
    </row>
    <row r="80">
      <c r="A80">
        <f>IFERROR(INDEX('Mesários'!$A$2:$A$113,MATCH(SMALL('Mesários'!$J$2:$J$113,79),'Mesários'!$J$2:$J$113,0)),"")</f>
        <v/>
      </c>
      <c r="B80">
        <f>IFERROR(INDEX('Mesários'!$B$2:$B$113,MATCH(SMALL('Mesários'!$J$2:$J$113,79),'Mesários'!$J$2:$J$113,0)),"")</f>
        <v/>
      </c>
      <c r="C80">
        <f>IFERROR(INDEX('Mesários'!$C$2:$C$113,MATCH(SMALL('Mesários'!$J$2:$J$113,79),'Mesários'!$J$2:$J$113,0)),"")</f>
        <v/>
      </c>
      <c r="D80">
        <f>IFERROR(CHOOSE(MATCH(INDEX('Mesários'!$I$2:$I$113,MATCH(SMALL('Mesários'!$J$2:$J$113,79),'Mesários'!$J$2:$J$113,0)),{"Confirmar","Não deve comparecer","Vago"},0),"Contatar para confirmar presença","Recrutar substituto","Recrutar mesário (função vaga)"),"")</f>
        <v/>
      </c>
    </row>
    <row r="81">
      <c r="A81">
        <f>IFERROR(INDEX('Mesários'!$A$2:$A$113,MATCH(SMALL('Mesários'!$J$2:$J$113,80),'Mesários'!$J$2:$J$113,0)),"")</f>
        <v/>
      </c>
      <c r="B81">
        <f>IFERROR(INDEX('Mesários'!$B$2:$B$113,MATCH(SMALL('Mesários'!$J$2:$J$113,80),'Mesários'!$J$2:$J$113,0)),"")</f>
        <v/>
      </c>
      <c r="C81">
        <f>IFERROR(INDEX('Mesários'!$C$2:$C$113,MATCH(SMALL('Mesários'!$J$2:$J$113,80),'Mesários'!$J$2:$J$113,0)),"")</f>
        <v/>
      </c>
      <c r="D81">
        <f>IFERROR(CHOOSE(MATCH(INDEX('Mesários'!$I$2:$I$113,MATCH(SMALL('Mesários'!$J$2:$J$113,80),'Mesários'!$J$2:$J$113,0)),{"Confirmar","Não deve comparecer","Vago"},0),"Contatar para confirmar presença","Recrutar substituto","Recrutar mesário (função vaga)"),"")</f>
        <v/>
      </c>
    </row>
    <row r="82">
      <c r="A82">
        <f>IFERROR(INDEX('Mesários'!$A$2:$A$113,MATCH(SMALL('Mesários'!$J$2:$J$113,81),'Mesários'!$J$2:$J$113,0)),"")</f>
        <v/>
      </c>
      <c r="B82">
        <f>IFERROR(INDEX('Mesários'!$B$2:$B$113,MATCH(SMALL('Mesários'!$J$2:$J$113,81),'Mesários'!$J$2:$J$113,0)),"")</f>
        <v/>
      </c>
      <c r="C82">
        <f>IFERROR(INDEX('Mesários'!$C$2:$C$113,MATCH(SMALL('Mesários'!$J$2:$J$113,81),'Mesários'!$J$2:$J$113,0)),"")</f>
        <v/>
      </c>
      <c r="D82">
        <f>IFERROR(CHOOSE(MATCH(INDEX('Mesários'!$I$2:$I$113,MATCH(SMALL('Mesários'!$J$2:$J$113,81),'Mesários'!$J$2:$J$113,0)),{"Confirmar","Não deve comparecer","Vago"},0),"Contatar para confirmar presença","Recrutar substituto","Recrutar mesário (função vaga)"),"")</f>
        <v/>
      </c>
    </row>
    <row r="83">
      <c r="A83">
        <f>IFERROR(INDEX('Mesários'!$A$2:$A$113,MATCH(SMALL('Mesários'!$J$2:$J$113,82),'Mesários'!$J$2:$J$113,0)),"")</f>
        <v/>
      </c>
      <c r="B83">
        <f>IFERROR(INDEX('Mesários'!$B$2:$B$113,MATCH(SMALL('Mesários'!$J$2:$J$113,82),'Mesários'!$J$2:$J$113,0)),"")</f>
        <v/>
      </c>
      <c r="C83">
        <f>IFERROR(INDEX('Mesários'!$C$2:$C$113,MATCH(SMALL('Mesários'!$J$2:$J$113,82),'Mesários'!$J$2:$J$113,0)),"")</f>
        <v/>
      </c>
      <c r="D83">
        <f>IFERROR(CHOOSE(MATCH(INDEX('Mesários'!$I$2:$I$113,MATCH(SMALL('Mesários'!$J$2:$J$113,82),'Mesários'!$J$2:$J$113,0)),{"Confirmar","Não deve comparecer","Vago"},0),"Contatar para confirmar presença","Recrutar substituto","Recrutar mesário (função vaga)"),"")</f>
        <v/>
      </c>
    </row>
    <row r="84">
      <c r="A84">
        <f>IFERROR(INDEX('Mesários'!$A$2:$A$113,MATCH(SMALL('Mesários'!$J$2:$J$113,83),'Mesários'!$J$2:$J$113,0)),"")</f>
        <v/>
      </c>
      <c r="B84">
        <f>IFERROR(INDEX('Mesários'!$B$2:$B$113,MATCH(SMALL('Mesários'!$J$2:$J$113,83),'Mesários'!$J$2:$J$113,0)),"")</f>
        <v/>
      </c>
      <c r="C84">
        <f>IFERROR(INDEX('Mesários'!$C$2:$C$113,MATCH(SMALL('Mesários'!$J$2:$J$113,83),'Mesários'!$J$2:$J$113,0)),"")</f>
        <v/>
      </c>
      <c r="D84">
        <f>IFERROR(CHOOSE(MATCH(INDEX('Mesários'!$I$2:$I$113,MATCH(SMALL('Mesários'!$J$2:$J$113,83),'Mesários'!$J$2:$J$113,0)),{"Confirmar","Não deve comparecer","Vago"},0),"Contatar para confirmar presença","Recrutar substituto","Recrutar mesário (função vaga)"),"")</f>
        <v/>
      </c>
    </row>
    <row r="85">
      <c r="A85">
        <f>IFERROR(INDEX('Mesários'!$A$2:$A$113,MATCH(SMALL('Mesários'!$J$2:$J$113,84),'Mesários'!$J$2:$J$113,0)),"")</f>
        <v/>
      </c>
      <c r="B85">
        <f>IFERROR(INDEX('Mesários'!$B$2:$B$113,MATCH(SMALL('Mesários'!$J$2:$J$113,84),'Mesários'!$J$2:$J$113,0)),"")</f>
        <v/>
      </c>
      <c r="C85">
        <f>IFERROR(INDEX('Mesários'!$C$2:$C$113,MATCH(SMALL('Mesários'!$J$2:$J$113,84),'Mesários'!$J$2:$J$113,0)),"")</f>
        <v/>
      </c>
      <c r="D85">
        <f>IFERROR(CHOOSE(MATCH(INDEX('Mesários'!$I$2:$I$113,MATCH(SMALL('Mesários'!$J$2:$J$113,84),'Mesários'!$J$2:$J$113,0)),{"Confirmar","Não deve comparecer","Vago"},0),"Contatar para confirmar presença","Recrutar substituto","Recrutar mesário (função vaga)"),"")</f>
        <v/>
      </c>
    </row>
    <row r="86">
      <c r="A86">
        <f>IFERROR(INDEX('Mesários'!$A$2:$A$113,MATCH(SMALL('Mesários'!$J$2:$J$113,85),'Mesários'!$J$2:$J$113,0)),"")</f>
        <v/>
      </c>
      <c r="B86">
        <f>IFERROR(INDEX('Mesários'!$B$2:$B$113,MATCH(SMALL('Mesários'!$J$2:$J$113,85),'Mesários'!$J$2:$J$113,0)),"")</f>
        <v/>
      </c>
      <c r="C86">
        <f>IFERROR(INDEX('Mesários'!$C$2:$C$113,MATCH(SMALL('Mesários'!$J$2:$J$113,85),'Mesários'!$J$2:$J$113,0)),"")</f>
        <v/>
      </c>
      <c r="D86">
        <f>IFERROR(CHOOSE(MATCH(INDEX('Mesários'!$I$2:$I$113,MATCH(SMALL('Mesários'!$J$2:$J$113,85),'Mesários'!$J$2:$J$113,0)),{"Confirmar","Não deve comparecer","Vago"},0),"Contatar para confirmar presença","Recrutar substituto","Recrutar mesário (função vaga)"),"")</f>
        <v/>
      </c>
    </row>
    <row r="87">
      <c r="A87">
        <f>IFERROR(INDEX('Mesários'!$A$2:$A$113,MATCH(SMALL('Mesários'!$J$2:$J$113,86),'Mesários'!$J$2:$J$113,0)),"")</f>
        <v/>
      </c>
      <c r="B87">
        <f>IFERROR(INDEX('Mesários'!$B$2:$B$113,MATCH(SMALL('Mesários'!$J$2:$J$113,86),'Mesários'!$J$2:$J$113,0)),"")</f>
        <v/>
      </c>
      <c r="C87">
        <f>IFERROR(INDEX('Mesários'!$C$2:$C$113,MATCH(SMALL('Mesários'!$J$2:$J$113,86),'Mesários'!$J$2:$J$113,0)),"")</f>
        <v/>
      </c>
      <c r="D87">
        <f>IFERROR(CHOOSE(MATCH(INDEX('Mesários'!$I$2:$I$113,MATCH(SMALL('Mesários'!$J$2:$J$113,86),'Mesários'!$J$2:$J$113,0)),{"Confirmar","Não deve comparecer","Vago"},0),"Contatar para confirmar presença","Recrutar substituto","Recrutar mesário (função vaga)"),"")</f>
        <v/>
      </c>
    </row>
    <row r="88">
      <c r="A88">
        <f>IFERROR(INDEX('Mesários'!$A$2:$A$113,MATCH(SMALL('Mesários'!$J$2:$J$113,87),'Mesários'!$J$2:$J$113,0)),"")</f>
        <v/>
      </c>
      <c r="B88">
        <f>IFERROR(INDEX('Mesários'!$B$2:$B$113,MATCH(SMALL('Mesários'!$J$2:$J$113,87),'Mesários'!$J$2:$J$113,0)),"")</f>
        <v/>
      </c>
      <c r="C88">
        <f>IFERROR(INDEX('Mesários'!$C$2:$C$113,MATCH(SMALL('Mesários'!$J$2:$J$113,87),'Mesários'!$J$2:$J$113,0)),"")</f>
        <v/>
      </c>
      <c r="D88">
        <f>IFERROR(CHOOSE(MATCH(INDEX('Mesários'!$I$2:$I$113,MATCH(SMALL('Mesários'!$J$2:$J$113,87),'Mesários'!$J$2:$J$113,0)),{"Confirmar","Não deve comparecer","Vago"},0),"Contatar para confirmar presença","Recrutar substituto","Recrutar mesário (função vaga)"),"")</f>
        <v/>
      </c>
    </row>
    <row r="89">
      <c r="A89">
        <f>IFERROR(INDEX('Mesários'!$A$2:$A$113,MATCH(SMALL('Mesários'!$J$2:$J$113,88),'Mesários'!$J$2:$J$113,0)),"")</f>
        <v/>
      </c>
      <c r="B89">
        <f>IFERROR(INDEX('Mesários'!$B$2:$B$113,MATCH(SMALL('Mesários'!$J$2:$J$113,88),'Mesários'!$J$2:$J$113,0)),"")</f>
        <v/>
      </c>
      <c r="C89">
        <f>IFERROR(INDEX('Mesários'!$C$2:$C$113,MATCH(SMALL('Mesários'!$J$2:$J$113,88),'Mesários'!$J$2:$J$113,0)),"")</f>
        <v/>
      </c>
      <c r="D89">
        <f>IFERROR(CHOOSE(MATCH(INDEX('Mesários'!$I$2:$I$113,MATCH(SMALL('Mesários'!$J$2:$J$113,88),'Mesários'!$J$2:$J$113,0)),{"Confirmar","Não deve comparecer","Vago"},0),"Contatar para confirmar presença","Recrutar substituto","Recrutar mesário (função vaga)"),"")</f>
        <v/>
      </c>
    </row>
    <row r="90">
      <c r="A90">
        <f>IFERROR(INDEX('Mesários'!$A$2:$A$113,MATCH(SMALL('Mesários'!$J$2:$J$113,89),'Mesários'!$J$2:$J$113,0)),"")</f>
        <v/>
      </c>
      <c r="B90">
        <f>IFERROR(INDEX('Mesários'!$B$2:$B$113,MATCH(SMALL('Mesários'!$J$2:$J$113,89),'Mesários'!$J$2:$J$113,0)),"")</f>
        <v/>
      </c>
      <c r="C90">
        <f>IFERROR(INDEX('Mesários'!$C$2:$C$113,MATCH(SMALL('Mesários'!$J$2:$J$113,89),'Mesários'!$J$2:$J$113,0)),"")</f>
        <v/>
      </c>
      <c r="D90">
        <f>IFERROR(CHOOSE(MATCH(INDEX('Mesários'!$I$2:$I$113,MATCH(SMALL('Mesários'!$J$2:$J$113,89),'Mesários'!$J$2:$J$113,0)),{"Confirmar","Não deve comparecer","Vago"},0),"Contatar para confirmar presença","Recrutar substituto","Recrutar mesário (função vaga)"),"")</f>
        <v/>
      </c>
    </row>
    <row r="91">
      <c r="A91">
        <f>IFERROR(INDEX('Mesários'!$A$2:$A$113,MATCH(SMALL('Mesários'!$J$2:$J$113,90),'Mesários'!$J$2:$J$113,0)),"")</f>
        <v/>
      </c>
      <c r="B91">
        <f>IFERROR(INDEX('Mesários'!$B$2:$B$113,MATCH(SMALL('Mesários'!$J$2:$J$113,90),'Mesários'!$J$2:$J$113,0)),"")</f>
        <v/>
      </c>
      <c r="C91">
        <f>IFERROR(INDEX('Mesários'!$C$2:$C$113,MATCH(SMALL('Mesários'!$J$2:$J$113,90),'Mesários'!$J$2:$J$113,0)),"")</f>
        <v/>
      </c>
      <c r="D91">
        <f>IFERROR(CHOOSE(MATCH(INDEX('Mesários'!$I$2:$I$113,MATCH(SMALL('Mesários'!$J$2:$J$113,90),'Mesários'!$J$2:$J$113,0)),{"Confirmar","Não deve comparecer","Vago"},0),"Contatar para confirmar presença","Recrutar substituto","Recrutar mesário (função vaga)"),"")</f>
        <v/>
      </c>
    </row>
    <row r="92">
      <c r="A92">
        <f>IFERROR(INDEX('Mesários'!$A$2:$A$113,MATCH(SMALL('Mesários'!$J$2:$J$113,91),'Mesários'!$J$2:$J$113,0)),"")</f>
        <v/>
      </c>
      <c r="B92">
        <f>IFERROR(INDEX('Mesários'!$B$2:$B$113,MATCH(SMALL('Mesários'!$J$2:$J$113,91),'Mesários'!$J$2:$J$113,0)),"")</f>
        <v/>
      </c>
      <c r="C92">
        <f>IFERROR(INDEX('Mesários'!$C$2:$C$113,MATCH(SMALL('Mesários'!$J$2:$J$113,91),'Mesários'!$J$2:$J$113,0)),"")</f>
        <v/>
      </c>
      <c r="D92">
        <f>IFERROR(CHOOSE(MATCH(INDEX('Mesários'!$I$2:$I$113,MATCH(SMALL('Mesários'!$J$2:$J$113,91),'Mesários'!$J$2:$J$113,0)),{"Confirmar","Não deve comparecer","Vago"},0),"Contatar para confirmar presença","Recrutar substituto","Recrutar mesário (função vaga)"),"")</f>
        <v/>
      </c>
    </row>
    <row r="93">
      <c r="A93">
        <f>IFERROR(INDEX('Mesários'!$A$2:$A$113,MATCH(SMALL('Mesários'!$J$2:$J$113,92),'Mesários'!$J$2:$J$113,0)),"")</f>
        <v/>
      </c>
      <c r="B93">
        <f>IFERROR(INDEX('Mesários'!$B$2:$B$113,MATCH(SMALL('Mesários'!$J$2:$J$113,92),'Mesários'!$J$2:$J$113,0)),"")</f>
        <v/>
      </c>
      <c r="C93">
        <f>IFERROR(INDEX('Mesários'!$C$2:$C$113,MATCH(SMALL('Mesários'!$J$2:$J$113,92),'Mesários'!$J$2:$J$113,0)),"")</f>
        <v/>
      </c>
      <c r="D93">
        <f>IFERROR(CHOOSE(MATCH(INDEX('Mesários'!$I$2:$I$113,MATCH(SMALL('Mesários'!$J$2:$J$113,92),'Mesários'!$J$2:$J$113,0)),{"Confirmar","Não deve comparecer","Vago"},0),"Contatar para confirmar presença","Recrutar substituto","Recrutar mesário (função vaga)"),"")</f>
        <v/>
      </c>
    </row>
    <row r="94">
      <c r="A94">
        <f>IFERROR(INDEX('Mesários'!$A$2:$A$113,MATCH(SMALL('Mesários'!$J$2:$J$113,93),'Mesários'!$J$2:$J$113,0)),"")</f>
        <v/>
      </c>
      <c r="B94">
        <f>IFERROR(INDEX('Mesários'!$B$2:$B$113,MATCH(SMALL('Mesários'!$J$2:$J$113,93),'Mesários'!$J$2:$J$113,0)),"")</f>
        <v/>
      </c>
      <c r="C94">
        <f>IFERROR(INDEX('Mesários'!$C$2:$C$113,MATCH(SMALL('Mesários'!$J$2:$J$113,93),'Mesários'!$J$2:$J$113,0)),"")</f>
        <v/>
      </c>
      <c r="D94">
        <f>IFERROR(CHOOSE(MATCH(INDEX('Mesários'!$I$2:$I$113,MATCH(SMALL('Mesários'!$J$2:$J$113,93),'Mesários'!$J$2:$J$113,0)),{"Confirmar","Não deve comparecer","Vago"},0),"Contatar para confirmar presença","Recrutar substituto","Recrutar mesário (função vaga)"),"")</f>
        <v/>
      </c>
    </row>
    <row r="95">
      <c r="A95">
        <f>IFERROR(INDEX('Mesários'!$A$2:$A$113,MATCH(SMALL('Mesários'!$J$2:$J$113,94),'Mesários'!$J$2:$J$113,0)),"")</f>
        <v/>
      </c>
      <c r="B95">
        <f>IFERROR(INDEX('Mesários'!$B$2:$B$113,MATCH(SMALL('Mesários'!$J$2:$J$113,94),'Mesários'!$J$2:$J$113,0)),"")</f>
        <v/>
      </c>
      <c r="C95">
        <f>IFERROR(INDEX('Mesários'!$C$2:$C$113,MATCH(SMALL('Mesários'!$J$2:$J$113,94),'Mesários'!$J$2:$J$113,0)),"")</f>
        <v/>
      </c>
      <c r="D95">
        <f>IFERROR(CHOOSE(MATCH(INDEX('Mesários'!$I$2:$I$113,MATCH(SMALL('Mesários'!$J$2:$J$113,94),'Mesários'!$J$2:$J$113,0)),{"Confirmar","Não deve comparecer","Vago"},0),"Contatar para confirmar presença","Recrutar substituto","Recrutar mesário (função vaga)"),"")</f>
        <v/>
      </c>
    </row>
    <row r="96">
      <c r="A96">
        <f>IFERROR(INDEX('Mesários'!$A$2:$A$113,MATCH(SMALL('Mesários'!$J$2:$J$113,95),'Mesários'!$J$2:$J$113,0)),"")</f>
        <v/>
      </c>
      <c r="B96">
        <f>IFERROR(INDEX('Mesários'!$B$2:$B$113,MATCH(SMALL('Mesários'!$J$2:$J$113,95),'Mesários'!$J$2:$J$113,0)),"")</f>
        <v/>
      </c>
      <c r="C96">
        <f>IFERROR(INDEX('Mesários'!$C$2:$C$113,MATCH(SMALL('Mesários'!$J$2:$J$113,95),'Mesários'!$J$2:$J$113,0)),"")</f>
        <v/>
      </c>
      <c r="D96">
        <f>IFERROR(CHOOSE(MATCH(INDEX('Mesários'!$I$2:$I$113,MATCH(SMALL('Mesários'!$J$2:$J$113,95),'Mesários'!$J$2:$J$113,0)),{"Confirmar","Não deve comparecer","Vago"},0),"Contatar para confirmar presença","Recrutar substituto","Recrutar mesário (função vaga)"),"")</f>
        <v/>
      </c>
    </row>
    <row r="97">
      <c r="A97">
        <f>IFERROR(INDEX('Mesários'!$A$2:$A$113,MATCH(SMALL('Mesários'!$J$2:$J$113,96),'Mesários'!$J$2:$J$113,0)),"")</f>
        <v/>
      </c>
      <c r="B97">
        <f>IFERROR(INDEX('Mesários'!$B$2:$B$113,MATCH(SMALL('Mesários'!$J$2:$J$113,96),'Mesários'!$J$2:$J$113,0)),"")</f>
        <v/>
      </c>
      <c r="C97">
        <f>IFERROR(INDEX('Mesários'!$C$2:$C$113,MATCH(SMALL('Mesários'!$J$2:$J$113,96),'Mesários'!$J$2:$J$113,0)),"")</f>
        <v/>
      </c>
      <c r="D97">
        <f>IFERROR(CHOOSE(MATCH(INDEX('Mesários'!$I$2:$I$113,MATCH(SMALL('Mesários'!$J$2:$J$113,96),'Mesários'!$J$2:$J$113,0)),{"Confirmar","Não deve comparecer","Vago"},0),"Contatar para confirmar presença","Recrutar substituto","Recrutar mesário (função vaga)"),"")</f>
        <v/>
      </c>
    </row>
    <row r="98">
      <c r="A98">
        <f>IFERROR(INDEX('Mesários'!$A$2:$A$113,MATCH(SMALL('Mesários'!$J$2:$J$113,97),'Mesários'!$J$2:$J$113,0)),"")</f>
        <v/>
      </c>
      <c r="B98">
        <f>IFERROR(INDEX('Mesários'!$B$2:$B$113,MATCH(SMALL('Mesários'!$J$2:$J$113,97),'Mesários'!$J$2:$J$113,0)),"")</f>
        <v/>
      </c>
      <c r="C98">
        <f>IFERROR(INDEX('Mesários'!$C$2:$C$113,MATCH(SMALL('Mesários'!$J$2:$J$113,97),'Mesários'!$J$2:$J$113,0)),"")</f>
        <v/>
      </c>
      <c r="D98">
        <f>IFERROR(CHOOSE(MATCH(INDEX('Mesários'!$I$2:$I$113,MATCH(SMALL('Mesários'!$J$2:$J$113,97),'Mesários'!$J$2:$J$113,0)),{"Confirmar","Não deve comparecer","Vago"},0),"Contatar para confirmar presença","Recrutar substituto","Recrutar mesário (função vaga)"),"")</f>
        <v/>
      </c>
    </row>
    <row r="99">
      <c r="A99">
        <f>IFERROR(INDEX('Mesários'!$A$2:$A$113,MATCH(SMALL('Mesários'!$J$2:$J$113,98),'Mesários'!$J$2:$J$113,0)),"")</f>
        <v/>
      </c>
      <c r="B99">
        <f>IFERROR(INDEX('Mesários'!$B$2:$B$113,MATCH(SMALL('Mesários'!$J$2:$J$113,98),'Mesários'!$J$2:$J$113,0)),"")</f>
        <v/>
      </c>
      <c r="C99">
        <f>IFERROR(INDEX('Mesários'!$C$2:$C$113,MATCH(SMALL('Mesários'!$J$2:$J$113,98),'Mesários'!$J$2:$J$113,0)),"")</f>
        <v/>
      </c>
      <c r="D99">
        <f>IFERROR(CHOOSE(MATCH(INDEX('Mesários'!$I$2:$I$113,MATCH(SMALL('Mesários'!$J$2:$J$113,98),'Mesários'!$J$2:$J$113,0)),{"Confirmar","Não deve comparecer","Vago"},0),"Contatar para confirmar presença","Recrutar substituto","Recrutar mesário (função vaga)"),"")</f>
        <v/>
      </c>
    </row>
    <row r="100">
      <c r="A100">
        <f>IFERROR(INDEX('Mesários'!$A$2:$A$113,MATCH(SMALL('Mesários'!$J$2:$J$113,99),'Mesários'!$J$2:$J$113,0)),"")</f>
        <v/>
      </c>
      <c r="B100">
        <f>IFERROR(INDEX('Mesários'!$B$2:$B$113,MATCH(SMALL('Mesários'!$J$2:$J$113,99),'Mesários'!$J$2:$J$113,0)),"")</f>
        <v/>
      </c>
      <c r="C100">
        <f>IFERROR(INDEX('Mesários'!$C$2:$C$113,MATCH(SMALL('Mesários'!$J$2:$J$113,99),'Mesários'!$J$2:$J$113,0)),"")</f>
        <v/>
      </c>
      <c r="D100">
        <f>IFERROR(CHOOSE(MATCH(INDEX('Mesários'!$I$2:$I$113,MATCH(SMALL('Mesários'!$J$2:$J$113,99),'Mesários'!$J$2:$J$113,0)),{"Confirmar","Não deve comparecer","Vago"},0),"Contatar para confirmar presença","Recrutar substituto","Recrutar mesário (função vaga)"),"")</f>
        <v/>
      </c>
    </row>
    <row r="101">
      <c r="A101">
        <f>IFERROR(INDEX('Mesários'!$A$2:$A$113,MATCH(SMALL('Mesários'!$J$2:$J$113,100),'Mesários'!$J$2:$J$113,0)),"")</f>
        <v/>
      </c>
      <c r="B101">
        <f>IFERROR(INDEX('Mesários'!$B$2:$B$113,MATCH(SMALL('Mesários'!$J$2:$J$113,100),'Mesários'!$J$2:$J$113,0)),"")</f>
        <v/>
      </c>
      <c r="C101">
        <f>IFERROR(INDEX('Mesários'!$C$2:$C$113,MATCH(SMALL('Mesários'!$J$2:$J$113,100),'Mesários'!$J$2:$J$113,0)),"")</f>
        <v/>
      </c>
      <c r="D101">
        <f>IFERROR(CHOOSE(MATCH(INDEX('Mesários'!$I$2:$I$113,MATCH(SMALL('Mesários'!$J$2:$J$113,100),'Mesários'!$J$2:$J$113,0)),{"Confirmar","Não deve comparecer","Vago"},0),"Contatar para confirmar presença","Recrutar substituto","Recrutar mesário (função vaga)"),"")</f>
        <v/>
      </c>
    </row>
    <row r="102">
      <c r="A102">
        <f>IFERROR(INDEX('Mesários'!$A$2:$A$113,MATCH(SMALL('Mesários'!$J$2:$J$113,101),'Mesários'!$J$2:$J$113,0)),"")</f>
        <v/>
      </c>
      <c r="B102">
        <f>IFERROR(INDEX('Mesários'!$B$2:$B$113,MATCH(SMALL('Mesários'!$J$2:$J$113,101),'Mesários'!$J$2:$J$113,0)),"")</f>
        <v/>
      </c>
      <c r="C102">
        <f>IFERROR(INDEX('Mesários'!$C$2:$C$113,MATCH(SMALL('Mesários'!$J$2:$J$113,101),'Mesários'!$J$2:$J$113,0)),"")</f>
        <v/>
      </c>
      <c r="D102">
        <f>IFERROR(CHOOSE(MATCH(INDEX('Mesários'!$I$2:$I$113,MATCH(SMALL('Mesários'!$J$2:$J$113,101),'Mesários'!$J$2:$J$113,0)),{"Confirmar","Não deve comparecer","Vago"},0),"Contatar para confirmar presença","Recrutar substituto","Recrutar mesário (função vaga)"),"")</f>
        <v/>
      </c>
    </row>
    <row r="103">
      <c r="A103">
        <f>IFERROR(INDEX('Mesários'!$A$2:$A$113,MATCH(SMALL('Mesários'!$J$2:$J$113,102),'Mesários'!$J$2:$J$113,0)),"")</f>
        <v/>
      </c>
      <c r="B103">
        <f>IFERROR(INDEX('Mesários'!$B$2:$B$113,MATCH(SMALL('Mesários'!$J$2:$J$113,102),'Mesários'!$J$2:$J$113,0)),"")</f>
        <v/>
      </c>
      <c r="C103">
        <f>IFERROR(INDEX('Mesários'!$C$2:$C$113,MATCH(SMALL('Mesários'!$J$2:$J$113,102),'Mesários'!$J$2:$J$113,0)),"")</f>
        <v/>
      </c>
      <c r="D103">
        <f>IFERROR(CHOOSE(MATCH(INDEX('Mesários'!$I$2:$I$113,MATCH(SMALL('Mesários'!$J$2:$J$113,102),'Mesários'!$J$2:$J$113,0)),{"Confirmar","Não deve comparecer","Vago"},0),"Contatar para confirmar presença","Recrutar substituto","Recrutar mesário (função vaga)"),"")</f>
        <v/>
      </c>
    </row>
    <row r="104">
      <c r="A104">
        <f>IFERROR(INDEX('Mesários'!$A$2:$A$113,MATCH(SMALL('Mesários'!$J$2:$J$113,103),'Mesários'!$J$2:$J$113,0)),"")</f>
        <v/>
      </c>
      <c r="B104">
        <f>IFERROR(INDEX('Mesários'!$B$2:$B$113,MATCH(SMALL('Mesários'!$J$2:$J$113,103),'Mesários'!$J$2:$J$113,0)),"")</f>
        <v/>
      </c>
      <c r="C104">
        <f>IFERROR(INDEX('Mesários'!$C$2:$C$113,MATCH(SMALL('Mesários'!$J$2:$J$113,103),'Mesários'!$J$2:$J$113,0)),"")</f>
        <v/>
      </c>
      <c r="D104">
        <f>IFERROR(CHOOSE(MATCH(INDEX('Mesários'!$I$2:$I$113,MATCH(SMALL('Mesários'!$J$2:$J$113,103),'Mesários'!$J$2:$J$113,0)),{"Confirmar","Não deve comparecer","Vago"},0),"Contatar para confirmar presença","Recrutar substituto","Recrutar mesário (função vaga)"),"")</f>
        <v/>
      </c>
    </row>
    <row r="105">
      <c r="A105">
        <f>IFERROR(INDEX('Mesários'!$A$2:$A$113,MATCH(SMALL('Mesários'!$J$2:$J$113,104),'Mesários'!$J$2:$J$113,0)),"")</f>
        <v/>
      </c>
      <c r="B105">
        <f>IFERROR(INDEX('Mesários'!$B$2:$B$113,MATCH(SMALL('Mesários'!$J$2:$J$113,104),'Mesários'!$J$2:$J$113,0)),"")</f>
        <v/>
      </c>
      <c r="C105">
        <f>IFERROR(INDEX('Mesários'!$C$2:$C$113,MATCH(SMALL('Mesários'!$J$2:$J$113,104),'Mesários'!$J$2:$J$113,0)),"")</f>
        <v/>
      </c>
      <c r="D105">
        <f>IFERROR(CHOOSE(MATCH(INDEX('Mesários'!$I$2:$I$113,MATCH(SMALL('Mesários'!$J$2:$J$113,104),'Mesários'!$J$2:$J$113,0)),{"Confirmar","Não deve comparecer","Vago"},0),"Contatar para confirmar presença","Recrutar substituto","Recrutar mesário (função vaga)"),"")</f>
        <v/>
      </c>
    </row>
    <row r="106">
      <c r="A106">
        <f>IFERROR(INDEX('Mesários'!$A$2:$A$113,MATCH(SMALL('Mesários'!$J$2:$J$113,105),'Mesários'!$J$2:$J$113,0)),"")</f>
        <v/>
      </c>
      <c r="B106">
        <f>IFERROR(INDEX('Mesários'!$B$2:$B$113,MATCH(SMALL('Mesários'!$J$2:$J$113,105),'Mesários'!$J$2:$J$113,0)),"")</f>
        <v/>
      </c>
      <c r="C106">
        <f>IFERROR(INDEX('Mesários'!$C$2:$C$113,MATCH(SMALL('Mesários'!$J$2:$J$113,105),'Mesários'!$J$2:$J$113,0)),"")</f>
        <v/>
      </c>
      <c r="D106">
        <f>IFERROR(CHOOSE(MATCH(INDEX('Mesários'!$I$2:$I$113,MATCH(SMALL('Mesários'!$J$2:$J$113,105),'Mesários'!$J$2:$J$113,0)),{"Confirmar","Não deve comparecer","Vago"},0),"Contatar para confirmar presença","Recrutar substituto","Recrutar mesário (função vaga)"),"")</f>
        <v/>
      </c>
    </row>
    <row r="107">
      <c r="A107">
        <f>IFERROR(INDEX('Mesários'!$A$2:$A$113,MATCH(SMALL('Mesários'!$J$2:$J$113,106),'Mesários'!$J$2:$J$113,0)),"")</f>
        <v/>
      </c>
      <c r="B107">
        <f>IFERROR(INDEX('Mesários'!$B$2:$B$113,MATCH(SMALL('Mesários'!$J$2:$J$113,106),'Mesários'!$J$2:$J$113,0)),"")</f>
        <v/>
      </c>
      <c r="C107">
        <f>IFERROR(INDEX('Mesários'!$C$2:$C$113,MATCH(SMALL('Mesários'!$J$2:$J$113,106),'Mesários'!$J$2:$J$113,0)),"")</f>
        <v/>
      </c>
      <c r="D107">
        <f>IFERROR(CHOOSE(MATCH(INDEX('Mesários'!$I$2:$I$113,MATCH(SMALL('Mesários'!$J$2:$J$113,106),'Mesários'!$J$2:$J$113,0)),{"Confirmar","Não deve comparecer","Vago"},0),"Contatar para confirmar presença","Recrutar substituto","Recrutar mesário (função vaga)"),"")</f>
        <v/>
      </c>
    </row>
    <row r="108">
      <c r="A108">
        <f>IFERROR(INDEX('Mesários'!$A$2:$A$113,MATCH(SMALL('Mesários'!$J$2:$J$113,107),'Mesários'!$J$2:$J$113,0)),"")</f>
        <v/>
      </c>
      <c r="B108">
        <f>IFERROR(INDEX('Mesários'!$B$2:$B$113,MATCH(SMALL('Mesários'!$J$2:$J$113,107),'Mesários'!$J$2:$J$113,0)),"")</f>
        <v/>
      </c>
      <c r="C108">
        <f>IFERROR(INDEX('Mesários'!$C$2:$C$113,MATCH(SMALL('Mesários'!$J$2:$J$113,107),'Mesários'!$J$2:$J$113,0)),"")</f>
        <v/>
      </c>
      <c r="D108">
        <f>IFERROR(CHOOSE(MATCH(INDEX('Mesários'!$I$2:$I$113,MATCH(SMALL('Mesários'!$J$2:$J$113,107),'Mesários'!$J$2:$J$113,0)),{"Confirmar","Não deve comparecer","Vago"},0),"Contatar para confirmar presença","Recrutar substituto","Recrutar mesário (função vaga)"),"")</f>
        <v/>
      </c>
    </row>
    <row r="109">
      <c r="A109">
        <f>IFERROR(INDEX('Mesários'!$A$2:$A$113,MATCH(SMALL('Mesários'!$J$2:$J$113,108),'Mesários'!$J$2:$J$113,0)),"")</f>
        <v/>
      </c>
      <c r="B109">
        <f>IFERROR(INDEX('Mesários'!$B$2:$B$113,MATCH(SMALL('Mesários'!$J$2:$J$113,108),'Mesários'!$J$2:$J$113,0)),"")</f>
        <v/>
      </c>
      <c r="C109">
        <f>IFERROR(INDEX('Mesários'!$C$2:$C$113,MATCH(SMALL('Mesários'!$J$2:$J$113,108),'Mesários'!$J$2:$J$113,0)),"")</f>
        <v/>
      </c>
      <c r="D109">
        <f>IFERROR(CHOOSE(MATCH(INDEX('Mesários'!$I$2:$I$113,MATCH(SMALL('Mesários'!$J$2:$J$113,108),'Mesários'!$J$2:$J$113,0)),{"Confirmar","Não deve comparecer","Vago"},0),"Contatar para confirmar presença","Recrutar substituto","Recrutar mesário (função vaga)"),"")</f>
        <v/>
      </c>
    </row>
    <row r="110">
      <c r="A110">
        <f>IFERROR(INDEX('Mesários'!$A$2:$A$113,MATCH(SMALL('Mesários'!$J$2:$J$113,109),'Mesários'!$J$2:$J$113,0)),"")</f>
        <v/>
      </c>
      <c r="B110">
        <f>IFERROR(INDEX('Mesários'!$B$2:$B$113,MATCH(SMALL('Mesários'!$J$2:$J$113,109),'Mesários'!$J$2:$J$113,0)),"")</f>
        <v/>
      </c>
      <c r="C110">
        <f>IFERROR(INDEX('Mesários'!$C$2:$C$113,MATCH(SMALL('Mesários'!$J$2:$J$113,109),'Mesários'!$J$2:$J$113,0)),"")</f>
        <v/>
      </c>
      <c r="D110">
        <f>IFERROR(CHOOSE(MATCH(INDEX('Mesários'!$I$2:$I$113,MATCH(SMALL('Mesários'!$J$2:$J$113,109),'Mesários'!$J$2:$J$113,0)),{"Confirmar","Não deve comparecer","Vago"},0),"Contatar para confirmar presença","Recrutar substituto","Recrutar mesário (função vaga)"),"")</f>
        <v/>
      </c>
    </row>
    <row r="111">
      <c r="A111">
        <f>IFERROR(INDEX('Mesários'!$A$2:$A$113,MATCH(SMALL('Mesários'!$J$2:$J$113,110),'Mesários'!$J$2:$J$113,0)),"")</f>
        <v/>
      </c>
      <c r="B111">
        <f>IFERROR(INDEX('Mesários'!$B$2:$B$113,MATCH(SMALL('Mesários'!$J$2:$J$113,110),'Mesários'!$J$2:$J$113,0)),"")</f>
        <v/>
      </c>
      <c r="C111">
        <f>IFERROR(INDEX('Mesários'!$C$2:$C$113,MATCH(SMALL('Mesários'!$J$2:$J$113,110),'Mesários'!$J$2:$J$113,0)),"")</f>
        <v/>
      </c>
      <c r="D111">
        <f>IFERROR(CHOOSE(MATCH(INDEX('Mesários'!$I$2:$I$113,MATCH(SMALL('Mesários'!$J$2:$J$113,110),'Mesários'!$J$2:$J$113,0)),{"Confirmar","Não deve comparecer","Vago"},0),"Contatar para confirmar presença","Recrutar substituto","Recrutar mesário (função vaga)"),"")</f>
        <v/>
      </c>
    </row>
    <row r="112">
      <c r="A112">
        <f>IFERROR(INDEX('Mesários'!$A$2:$A$113,MATCH(SMALL('Mesários'!$J$2:$J$113,111),'Mesários'!$J$2:$J$113,0)),"")</f>
        <v/>
      </c>
      <c r="B112">
        <f>IFERROR(INDEX('Mesários'!$B$2:$B$113,MATCH(SMALL('Mesários'!$J$2:$J$113,111),'Mesários'!$J$2:$J$113,0)),"")</f>
        <v/>
      </c>
      <c r="C112">
        <f>IFERROR(INDEX('Mesários'!$C$2:$C$113,MATCH(SMALL('Mesários'!$J$2:$J$113,111),'Mesários'!$J$2:$J$113,0)),"")</f>
        <v/>
      </c>
      <c r="D112">
        <f>IFERROR(CHOOSE(MATCH(INDEX('Mesários'!$I$2:$I$113,MATCH(SMALL('Mesários'!$J$2:$J$113,111),'Mesários'!$J$2:$J$113,0)),{"Confirmar","Não deve comparecer","Vago"},0),"Contatar para confirmar presença","Recrutar substituto","Recrutar mesário (função vaga)"),"")</f>
        <v/>
      </c>
    </row>
    <row r="113">
      <c r="A113">
        <f>IFERROR(INDEX('Mesários'!$A$2:$A$113,MATCH(SMALL('Mesários'!$J$2:$J$113,112),'Mesários'!$J$2:$J$113,0)),"")</f>
        <v/>
      </c>
      <c r="B113">
        <f>IFERROR(INDEX('Mesários'!$B$2:$B$113,MATCH(SMALL('Mesários'!$J$2:$J$113,112),'Mesários'!$J$2:$J$113,0)),"")</f>
        <v/>
      </c>
      <c r="C113">
        <f>IFERROR(INDEX('Mesários'!$C$2:$C$113,MATCH(SMALL('Mesários'!$J$2:$J$113,112),'Mesários'!$J$2:$J$113,0)),"")</f>
        <v/>
      </c>
      <c r="D113">
        <f>IFERROR(CHOOSE(MATCH(INDEX('Mesários'!$I$2:$I$113,MATCH(SMALL('Mesários'!$J$2:$J$113,112),'Mesários'!$J$2:$J$113,0)),{"Confirmar","Não deve comparecer","Vago"},0),"Contatar para confirmar presença","Recrutar substituto","Recrutar mesário (função vaga)"),"")</f>
        <v/>
      </c>
    </row>
    <row r="115" ht="45" customHeight="1">
      <c r="A115" s="5" t="inlineStr">
        <is>
          <t>Lista as funções cuja expectativa não é 'Deve comparecer', na ordem de prioridade da seção (aba 'Por seção', comparecimento efetivo do 1º turno) e, dentro da seção, Presidente &gt; 1º Mesário &gt; 1º Secretário &gt; 2º Mesário (premissa). Calculada a partir da aba 'Mesários': não editar aqui.</t>
        </is>
      </c>
    </row>
  </sheetData>
  <mergeCells count="1">
    <mergeCell ref="A115:D115"/>
  </mergeCells>
  <conditionalFormatting sqref="A2:D113">
    <cfRule type="expression" priority="1" dxfId="1">
      <formula>$D2="Contatar para confirmar presença"</formula>
    </cfRule>
    <cfRule type="expression" priority="2" dxfId="2">
      <formula>$D2="Recrutar substituto"</formula>
    </cfRule>
    <cfRule type="expression" priority="3" dxfId="3">
      <formula>$D2="Recrutar mesário (função vaga)"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15" customWidth="1" min="3" max="3"/>
    <col width="11" customWidth="1" min="4" max="4"/>
    <col width="11" customWidth="1" min="5" max="5"/>
  </cols>
  <sheetData>
    <row r="1" ht="30" customHeight="1">
      <c r="A1" s="1" t="inlineStr">
        <is>
          <t>Seção</t>
        </is>
      </c>
      <c r="B1" s="1" t="inlineStr">
        <is>
          <t>Aptos (BU)</t>
        </is>
      </c>
      <c r="C1" s="1" t="inlineStr">
        <is>
          <t>Comparecimento efetivo (BU)</t>
        </is>
      </c>
      <c r="D1" s="1" t="inlineStr">
        <is>
          <t>Posição (efetivo)</t>
        </is>
      </c>
      <c r="E1" s="1" t="inlineStr">
        <is>
          <t>Faixa efetiva</t>
        </is>
      </c>
    </row>
    <row r="2">
      <c r="A2" t="n">
        <v>3315</v>
      </c>
      <c r="B2" s="6" t="n">
        <v>790</v>
      </c>
      <c r="C2" s="6" t="n">
        <v>536</v>
      </c>
      <c r="D2" t="n">
        <v>1</v>
      </c>
      <c r="E2" t="inlineStr">
        <is>
          <t>Alto</t>
        </is>
      </c>
    </row>
    <row r="3">
      <c r="A3" t="n">
        <v>3322</v>
      </c>
      <c r="B3" s="6" t="n">
        <v>792</v>
      </c>
      <c r="C3" s="6" t="n">
        <v>503</v>
      </c>
      <c r="D3" t="n">
        <v>2</v>
      </c>
      <c r="E3" t="inlineStr">
        <is>
          <t>Alto</t>
        </is>
      </c>
    </row>
    <row r="4">
      <c r="A4" t="n">
        <v>3313</v>
      </c>
      <c r="B4" s="6" t="n">
        <v>792</v>
      </c>
      <c r="C4" s="6" t="n">
        <v>492</v>
      </c>
      <c r="D4" t="n">
        <v>3</v>
      </c>
      <c r="E4" t="inlineStr">
        <is>
          <t>Alto</t>
        </is>
      </c>
    </row>
    <row r="5">
      <c r="A5" t="n">
        <v>3311</v>
      </c>
      <c r="B5" s="6" t="n">
        <v>626</v>
      </c>
      <c r="C5" s="6" t="n">
        <v>384</v>
      </c>
      <c r="D5" t="n">
        <v>4</v>
      </c>
      <c r="E5" t="inlineStr">
        <is>
          <t>Médio</t>
        </is>
      </c>
    </row>
    <row r="6">
      <c r="A6" t="n">
        <v>3302</v>
      </c>
      <c r="B6" s="6" t="n">
        <v>763</v>
      </c>
      <c r="C6" s="6" t="n">
        <v>373</v>
      </c>
      <c r="D6" t="n">
        <v>5</v>
      </c>
      <c r="E6" t="inlineStr">
        <is>
          <t>Médio</t>
        </is>
      </c>
    </row>
    <row r="7">
      <c r="A7" t="n">
        <v>3179</v>
      </c>
      <c r="B7" s="6" t="n">
        <v>670</v>
      </c>
      <c r="C7" s="6" t="n">
        <v>349</v>
      </c>
      <c r="D7" t="n">
        <v>6</v>
      </c>
      <c r="E7" t="inlineStr">
        <is>
          <t>Médio</t>
        </is>
      </c>
    </row>
    <row r="8">
      <c r="A8" t="n">
        <v>3306</v>
      </c>
      <c r="B8" s="6" t="n">
        <v>761</v>
      </c>
      <c r="C8" s="6" t="n">
        <v>345</v>
      </c>
      <c r="D8" t="n">
        <v>7</v>
      </c>
      <c r="E8" t="inlineStr">
        <is>
          <t>Médio</t>
        </is>
      </c>
    </row>
    <row r="9">
      <c r="A9" t="n">
        <v>3161</v>
      </c>
      <c r="B9" s="6" t="n">
        <v>787</v>
      </c>
      <c r="C9" s="6" t="n">
        <v>328</v>
      </c>
      <c r="D9" t="n">
        <v>8</v>
      </c>
      <c r="E9" t="inlineStr">
        <is>
          <t>Baixo</t>
        </is>
      </c>
    </row>
    <row r="10">
      <c r="A10" t="n">
        <v>3245</v>
      </c>
      <c r="B10" s="6" t="n">
        <v>778</v>
      </c>
      <c r="C10" s="6" t="n">
        <v>322</v>
      </c>
      <c r="D10" t="n">
        <v>9</v>
      </c>
      <c r="E10" t="inlineStr">
        <is>
          <t>Baixo</t>
        </is>
      </c>
    </row>
    <row r="11">
      <c r="A11" t="n">
        <v>3108</v>
      </c>
      <c r="B11" s="6" t="n">
        <v>752</v>
      </c>
      <c r="C11" s="6" t="n">
        <v>320</v>
      </c>
      <c r="D11" t="n">
        <v>10</v>
      </c>
      <c r="E11" t="inlineStr">
        <is>
          <t>Baixo</t>
        </is>
      </c>
    </row>
    <row r="12">
      <c r="A12" t="n">
        <v>3142</v>
      </c>
      <c r="B12" s="6" t="n">
        <v>787</v>
      </c>
      <c r="C12" s="6" t="n">
        <v>318</v>
      </c>
      <c r="D12" t="n">
        <v>11</v>
      </c>
      <c r="E12" t="inlineStr">
        <is>
          <t>Baixo</t>
        </is>
      </c>
    </row>
    <row r="13">
      <c r="A13" t="n">
        <v>3229</v>
      </c>
      <c r="B13" s="6" t="n">
        <v>601</v>
      </c>
      <c r="C13" s="6" t="n">
        <v>318</v>
      </c>
      <c r="D13" t="n">
        <v>12</v>
      </c>
      <c r="E13" t="inlineStr">
        <is>
          <t>Baixo</t>
        </is>
      </c>
    </row>
    <row r="14">
      <c r="A14" t="n">
        <v>3832</v>
      </c>
      <c r="B14" s="6" t="n">
        <v>399</v>
      </c>
      <c r="C14" s="6" t="n">
        <v>306</v>
      </c>
      <c r="D14" t="n">
        <v>13</v>
      </c>
      <c r="E14" t="inlineStr">
        <is>
          <t>Baixo</t>
        </is>
      </c>
    </row>
    <row r="15">
      <c r="A15" t="n">
        <v>3862</v>
      </c>
      <c r="B15" s="6" t="n">
        <v>400</v>
      </c>
      <c r="C15" s="6" t="n">
        <v>302</v>
      </c>
      <c r="D15" t="n">
        <v>14</v>
      </c>
      <c r="E15" t="inlineStr">
        <is>
          <t>Baixo</t>
        </is>
      </c>
    </row>
    <row r="16">
      <c r="A16" t="n">
        <v>3216</v>
      </c>
      <c r="B16" s="6" t="n">
        <v>568</v>
      </c>
      <c r="C16" s="6" t="n">
        <v>278</v>
      </c>
      <c r="D16" t="n">
        <v>15</v>
      </c>
      <c r="E16" t="inlineStr">
        <is>
          <t>Baixo</t>
        </is>
      </c>
    </row>
    <row r="17">
      <c r="A17" t="n">
        <v>3309</v>
      </c>
      <c r="B17" s="6" t="n">
        <v>614</v>
      </c>
      <c r="C17" s="6" t="n">
        <v>278</v>
      </c>
      <c r="D17" t="n">
        <v>16</v>
      </c>
      <c r="E17" t="inlineStr">
        <is>
          <t>Baixo</t>
        </is>
      </c>
    </row>
    <row r="18">
      <c r="A18" t="n">
        <v>3305</v>
      </c>
      <c r="B18" s="6" t="n">
        <v>764</v>
      </c>
      <c r="C18" s="6" t="n">
        <v>265</v>
      </c>
      <c r="D18" t="n">
        <v>17</v>
      </c>
      <c r="E18" t="inlineStr">
        <is>
          <t>Baixo</t>
        </is>
      </c>
    </row>
    <row r="19">
      <c r="A19" t="n">
        <v>3688</v>
      </c>
      <c r="B19" s="6" t="n">
        <v>399</v>
      </c>
      <c r="C19" s="6" t="n">
        <v>265</v>
      </c>
      <c r="D19" t="n">
        <v>18</v>
      </c>
      <c r="E19" t="inlineStr">
        <is>
          <t>Baixo</t>
        </is>
      </c>
    </row>
    <row r="20">
      <c r="A20" t="n">
        <v>3078</v>
      </c>
      <c r="B20" s="6" t="n">
        <v>427</v>
      </c>
      <c r="C20" s="6" t="n">
        <v>259</v>
      </c>
      <c r="D20" t="n">
        <v>19</v>
      </c>
      <c r="E20" t="inlineStr">
        <is>
          <t>Baixo</t>
        </is>
      </c>
    </row>
    <row r="21">
      <c r="A21" t="n">
        <v>3054</v>
      </c>
      <c r="B21" s="6" t="n">
        <v>452</v>
      </c>
      <c r="C21" s="6" t="n">
        <v>256</v>
      </c>
      <c r="D21" t="n">
        <v>20</v>
      </c>
      <c r="E21" t="inlineStr">
        <is>
          <t>Baixo</t>
        </is>
      </c>
    </row>
    <row r="22">
      <c r="A22" t="n">
        <v>1160</v>
      </c>
      <c r="B22" s="6" t="n">
        <v>472</v>
      </c>
      <c r="C22" s="6" t="n">
        <v>239</v>
      </c>
      <c r="D22" t="n">
        <v>21</v>
      </c>
      <c r="E22" t="inlineStr">
        <is>
          <t>Baixo</t>
        </is>
      </c>
    </row>
    <row r="23">
      <c r="A23" t="n">
        <v>511</v>
      </c>
      <c r="B23" s="6" t="n">
        <v>582</v>
      </c>
      <c r="C23" s="6" t="n">
        <v>226</v>
      </c>
      <c r="D23" t="n">
        <v>22</v>
      </c>
      <c r="E23" t="inlineStr">
        <is>
          <t>Baixo</t>
        </is>
      </c>
    </row>
    <row r="24">
      <c r="A24" t="n">
        <v>517</v>
      </c>
      <c r="B24" s="6" t="n">
        <v>512</v>
      </c>
      <c r="C24" s="6" t="n">
        <v>220</v>
      </c>
      <c r="D24" t="n">
        <v>23</v>
      </c>
      <c r="E24" t="inlineStr">
        <is>
          <t>Baixo</t>
        </is>
      </c>
    </row>
    <row r="25">
      <c r="A25" t="n">
        <v>512</v>
      </c>
      <c r="B25" s="6" t="n">
        <v>476</v>
      </c>
      <c r="C25" s="6" t="n">
        <v>204</v>
      </c>
      <c r="D25" t="n">
        <v>24</v>
      </c>
      <c r="E25" t="inlineStr">
        <is>
          <t>Baixo</t>
        </is>
      </c>
    </row>
    <row r="26">
      <c r="A26" t="n">
        <v>3308</v>
      </c>
      <c r="B26" s="6" t="n">
        <v>396</v>
      </c>
      <c r="C26" s="6" t="n">
        <v>204</v>
      </c>
      <c r="D26" t="n">
        <v>25</v>
      </c>
      <c r="E26" t="inlineStr">
        <is>
          <t>Baixo</t>
        </is>
      </c>
    </row>
    <row r="27">
      <c r="A27" t="n">
        <v>1352</v>
      </c>
      <c r="B27" s="6" t="n">
        <v>462</v>
      </c>
      <c r="C27" s="6" t="n">
        <v>203</v>
      </c>
      <c r="D27" t="n">
        <v>26</v>
      </c>
      <c r="E27" t="inlineStr">
        <is>
          <t>Baixo</t>
        </is>
      </c>
    </row>
    <row r="28">
      <c r="A28" t="n">
        <v>513</v>
      </c>
      <c r="B28" s="6" t="n">
        <v>501</v>
      </c>
      <c r="C28" s="6" t="n">
        <v>190</v>
      </c>
      <c r="D28" t="n">
        <v>27</v>
      </c>
      <c r="E28" t="inlineStr">
        <is>
          <t>Baixo</t>
        </is>
      </c>
    </row>
    <row r="29">
      <c r="A29" t="n">
        <v>3442</v>
      </c>
      <c r="B29" s="6" t="n">
        <v>397</v>
      </c>
      <c r="C29" s="6" t="n">
        <v>134</v>
      </c>
      <c r="D29" t="n">
        <v>28</v>
      </c>
      <c r="E29" t="inlineStr">
        <is>
          <t>Baixo</t>
        </is>
      </c>
    </row>
    <row r="31" ht="45" customHeight="1">
      <c r="A31" s="5" t="inlineStr">
        <is>
          <t>Boletins de Urna do 1º turno (04/10/2026), da aba 'Por secao' de 2026.10.12_Mesários_Seções_Atualizadas. Posição = ordem pelo comparecimento efetivo. Faixa efetiva: as 3 maiores = Alto; efetivo ≥ 329 = Médio; abaixo = Baixo. A posição define a ordem da aba 'Funções a preencher'.</t>
        </is>
      </c>
    </row>
  </sheetData>
  <mergeCells count="1">
    <mergeCell ref="A31:E31"/>
  </mergeCells>
  <conditionalFormatting sqref="A2:E29">
    <cfRule type="expression" priority="1" dxfId="5">
      <formula>$E2="Alto"</formula>
    </cfRule>
    <cfRule type="expression" priority="2" dxfId="6">
      <formula>$E2="Médio"</formula>
    </cfRule>
    <cfRule type="expression" priority="3" dxfId="7">
      <formula>$E2="Baixo"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2026-10-12T12:04:30Z</dcterms:created>
  <dcterms:modified xmlns:dcterms="http://purl.org/dc/terms/" xmlns:xsi="http://www.w3.org/2001/XMLSchema-instance" xsi:type="dcterms:W3CDTF">2026-10-12T12:04:30Z</dcterms:modified>
</cp:coreProperties>
</file>