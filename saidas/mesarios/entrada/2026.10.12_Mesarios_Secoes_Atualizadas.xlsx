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kalaf\Downloads\"/>
    </mc:Choice>
  </mc:AlternateContent>
  <xr:revisionPtr revIDLastSave="0" documentId="8_{E0FA6A18-56A2-4C47-A873-1DE8844540DE}" xr6:coauthVersionLast="47" xr6:coauthVersionMax="47" xr10:uidLastSave="{00000000-0000-0000-0000-000000000000}"/>
  <bookViews>
    <workbookView xWindow="-28920" yWindow="-120" windowWidth="29040" windowHeight="15840" firstSheet="1" activeTab="3" xr2:uid="{00000000-000D-0000-FFFF-FFFF00000000}"/>
  </bookViews>
  <sheets>
    <sheet name="Resumo" sheetId="1" r:id="rId1"/>
    <sheet name="Mesarios" sheetId="2" r:id="rId2"/>
    <sheet name="Presenca por secao" sheetId="3" r:id="rId3"/>
    <sheet name="Por secao" sheetId="4" r:id="rId4"/>
    <sheet name="Ranking" sheetId="5" r:id="rId5"/>
  </sheets>
  <definedNames>
    <definedName name="_xlnm._FilterDatabase" localSheetId="1" hidden="1">Mesarios!$A$1:$F$112</definedName>
    <definedName name="_xlnm._FilterDatabase" localSheetId="2" hidden="1">'Presenca por secao'!$A$1:$O$29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4" l="1"/>
  <c r="O24" i="4" s="1"/>
  <c r="O24" i="3" s="1"/>
  <c r="W34" i="4"/>
  <c r="W25" i="4" s="1"/>
  <c r="W35" i="4"/>
  <c r="I28" i="5"/>
  <c r="H28" i="5"/>
  <c r="C26" i="5"/>
  <c r="B26" i="5"/>
  <c r="G23" i="5"/>
  <c r="F23" i="5"/>
  <c r="E23" i="5"/>
  <c r="C18" i="5"/>
  <c r="C10" i="5"/>
  <c r="C2" i="5"/>
  <c r="Q30" i="4"/>
  <c r="P30" i="4"/>
  <c r="S30" i="4" s="1"/>
  <c r="N30" i="4"/>
  <c r="M30" i="4"/>
  <c r="V29" i="4"/>
  <c r="U29" i="4"/>
  <c r="T29" i="4"/>
  <c r="S29" i="4"/>
  <c r="R29" i="4"/>
  <c r="I29" i="4"/>
  <c r="H29" i="4"/>
  <c r="G29" i="4"/>
  <c r="K29" i="4" s="1"/>
  <c r="F29" i="4"/>
  <c r="E29" i="4"/>
  <c r="D29" i="4"/>
  <c r="C29" i="4"/>
  <c r="B29" i="4"/>
  <c r="V28" i="4"/>
  <c r="U28" i="4"/>
  <c r="T28" i="4"/>
  <c r="S28" i="4"/>
  <c r="R28" i="4"/>
  <c r="K28" i="4"/>
  <c r="J28" i="4"/>
  <c r="I28" i="4"/>
  <c r="H28" i="4"/>
  <c r="G28" i="4"/>
  <c r="F28" i="4"/>
  <c r="E28" i="4"/>
  <c r="D28" i="4"/>
  <c r="C28" i="4"/>
  <c r="B28" i="4"/>
  <c r="V27" i="4"/>
  <c r="U27" i="4"/>
  <c r="T27" i="4"/>
  <c r="S27" i="4"/>
  <c r="R27" i="4"/>
  <c r="I27" i="4"/>
  <c r="H27" i="4"/>
  <c r="G27" i="4"/>
  <c r="F27" i="4"/>
  <c r="E27" i="4"/>
  <c r="D27" i="4"/>
  <c r="C27" i="4"/>
  <c r="J27" i="4" s="1"/>
  <c r="B27" i="4"/>
  <c r="K27" i="4" s="1"/>
  <c r="V26" i="4"/>
  <c r="U26" i="4"/>
  <c r="T26" i="4"/>
  <c r="S26" i="4"/>
  <c r="R26" i="4"/>
  <c r="J26" i="4"/>
  <c r="I26" i="4"/>
  <c r="H26" i="4"/>
  <c r="G26" i="4"/>
  <c r="F26" i="4"/>
  <c r="E26" i="4"/>
  <c r="D26" i="4"/>
  <c r="C26" i="4"/>
  <c r="B26" i="4"/>
  <c r="K26" i="4" s="1"/>
  <c r="V25" i="4"/>
  <c r="U25" i="4"/>
  <c r="T25" i="4"/>
  <c r="S25" i="4"/>
  <c r="R25" i="4"/>
  <c r="I25" i="4"/>
  <c r="H25" i="4"/>
  <c r="G25" i="4"/>
  <c r="F25" i="4"/>
  <c r="E25" i="4"/>
  <c r="D25" i="4"/>
  <c r="C25" i="4"/>
  <c r="J25" i="4" s="1"/>
  <c r="B25" i="4"/>
  <c r="K25" i="4" s="1"/>
  <c r="V24" i="4"/>
  <c r="U24" i="4"/>
  <c r="T24" i="4"/>
  <c r="S24" i="4"/>
  <c r="R24" i="4"/>
  <c r="I24" i="4"/>
  <c r="H24" i="4"/>
  <c r="G24" i="4"/>
  <c r="K24" i="4" s="1"/>
  <c r="F24" i="4"/>
  <c r="J24" i="4" s="1"/>
  <c r="E24" i="4"/>
  <c r="D24" i="4"/>
  <c r="C24" i="4"/>
  <c r="B24" i="4"/>
  <c r="V23" i="4"/>
  <c r="U23" i="4"/>
  <c r="T23" i="4"/>
  <c r="S23" i="4"/>
  <c r="R23" i="4"/>
  <c r="K23" i="4"/>
  <c r="I23" i="4"/>
  <c r="H23" i="4"/>
  <c r="G23" i="4"/>
  <c r="F23" i="4"/>
  <c r="E23" i="4"/>
  <c r="D23" i="4"/>
  <c r="C23" i="4"/>
  <c r="J23" i="4" s="1"/>
  <c r="B23" i="4"/>
  <c r="V22" i="4"/>
  <c r="U22" i="4"/>
  <c r="T22" i="4"/>
  <c r="S22" i="4"/>
  <c r="R22" i="4"/>
  <c r="K22" i="4"/>
  <c r="I22" i="4"/>
  <c r="H22" i="4"/>
  <c r="G22" i="4"/>
  <c r="F22" i="4"/>
  <c r="E22" i="4"/>
  <c r="D22" i="4"/>
  <c r="C22" i="4"/>
  <c r="B22" i="4"/>
  <c r="V21" i="4"/>
  <c r="U21" i="4"/>
  <c r="T21" i="4"/>
  <c r="S21" i="4"/>
  <c r="R21" i="4"/>
  <c r="K21" i="4"/>
  <c r="J21" i="4"/>
  <c r="I21" i="4"/>
  <c r="H21" i="4"/>
  <c r="G21" i="4"/>
  <c r="F21" i="4"/>
  <c r="E21" i="4"/>
  <c r="D21" i="4"/>
  <c r="C21" i="4"/>
  <c r="B21" i="4"/>
  <c r="V20" i="4"/>
  <c r="U20" i="4"/>
  <c r="T20" i="4"/>
  <c r="S20" i="4"/>
  <c r="R20" i="4"/>
  <c r="O20" i="4"/>
  <c r="O20" i="3" s="1"/>
  <c r="I20" i="4"/>
  <c r="H20" i="4"/>
  <c r="G20" i="4"/>
  <c r="F20" i="4"/>
  <c r="E20" i="4"/>
  <c r="D20" i="4"/>
  <c r="C20" i="4"/>
  <c r="J20" i="4" s="1"/>
  <c r="B20" i="4"/>
  <c r="K20" i="4" s="1"/>
  <c r="V19" i="4"/>
  <c r="U19" i="4"/>
  <c r="T19" i="4"/>
  <c r="S19" i="4"/>
  <c r="R19" i="4"/>
  <c r="I19" i="4"/>
  <c r="H19" i="4"/>
  <c r="G19" i="4"/>
  <c r="F19" i="4"/>
  <c r="E19" i="4"/>
  <c r="D19" i="4"/>
  <c r="C19" i="4"/>
  <c r="J19" i="4" s="1"/>
  <c r="B19" i="4"/>
  <c r="V18" i="4"/>
  <c r="U18" i="4"/>
  <c r="T18" i="4"/>
  <c r="S18" i="4"/>
  <c r="R18" i="4"/>
  <c r="I18" i="4"/>
  <c r="H18" i="4"/>
  <c r="G18" i="4"/>
  <c r="F18" i="4"/>
  <c r="E18" i="4"/>
  <c r="D18" i="4"/>
  <c r="C18" i="4"/>
  <c r="J18" i="4" s="1"/>
  <c r="B18" i="4"/>
  <c r="K18" i="4" s="1"/>
  <c r="V17" i="4"/>
  <c r="U17" i="4"/>
  <c r="T17" i="4"/>
  <c r="S17" i="4"/>
  <c r="R17" i="4"/>
  <c r="I17" i="4"/>
  <c r="H17" i="4"/>
  <c r="G17" i="4"/>
  <c r="K17" i="4" s="1"/>
  <c r="F17" i="4"/>
  <c r="E17" i="4"/>
  <c r="D17" i="4"/>
  <c r="C17" i="4"/>
  <c r="B17" i="4"/>
  <c r="V16" i="4"/>
  <c r="U16" i="4"/>
  <c r="T16" i="4"/>
  <c r="S16" i="4"/>
  <c r="R16" i="4"/>
  <c r="K16" i="4"/>
  <c r="J16" i="4"/>
  <c r="I16" i="4"/>
  <c r="H16" i="4"/>
  <c r="G16" i="4"/>
  <c r="F16" i="4"/>
  <c r="E16" i="4"/>
  <c r="D16" i="4"/>
  <c r="C16" i="4"/>
  <c r="B16" i="4"/>
  <c r="V15" i="4"/>
  <c r="U15" i="4"/>
  <c r="T15" i="4"/>
  <c r="S15" i="4"/>
  <c r="R15" i="4"/>
  <c r="O15" i="4"/>
  <c r="O15" i="3" s="1"/>
  <c r="I15" i="4"/>
  <c r="H15" i="4"/>
  <c r="G15" i="4"/>
  <c r="F15" i="4"/>
  <c r="E15" i="4"/>
  <c r="D15" i="4"/>
  <c r="C15" i="4"/>
  <c r="B15" i="4"/>
  <c r="K15" i="4" s="1"/>
  <c r="V14" i="4"/>
  <c r="U14" i="4"/>
  <c r="T14" i="4"/>
  <c r="S14" i="4"/>
  <c r="R14" i="4"/>
  <c r="J14" i="4"/>
  <c r="I14" i="4"/>
  <c r="H14" i="4"/>
  <c r="G14" i="4"/>
  <c r="F14" i="4"/>
  <c r="E14" i="4"/>
  <c r="D14" i="4"/>
  <c r="C14" i="4"/>
  <c r="B14" i="4"/>
  <c r="K14" i="4" s="1"/>
  <c r="V13" i="4"/>
  <c r="U13" i="4"/>
  <c r="T13" i="4"/>
  <c r="S13" i="4"/>
  <c r="R13" i="4"/>
  <c r="I13" i="4"/>
  <c r="H13" i="4"/>
  <c r="G13" i="4"/>
  <c r="F13" i="4"/>
  <c r="E13" i="4"/>
  <c r="D13" i="4"/>
  <c r="C13" i="4"/>
  <c r="J13" i="4" s="1"/>
  <c r="B13" i="4"/>
  <c r="K13" i="4" s="1"/>
  <c r="V12" i="4"/>
  <c r="U12" i="4"/>
  <c r="T12" i="4"/>
  <c r="S12" i="4"/>
  <c r="R12" i="4"/>
  <c r="I12" i="4"/>
  <c r="H12" i="4"/>
  <c r="G12" i="4"/>
  <c r="K12" i="4" s="1"/>
  <c r="F12" i="4"/>
  <c r="J12" i="4" s="1"/>
  <c r="E12" i="4"/>
  <c r="D12" i="4"/>
  <c r="C12" i="4"/>
  <c r="B12" i="4"/>
  <c r="V11" i="4"/>
  <c r="U11" i="4"/>
  <c r="T11" i="4"/>
  <c r="S11" i="4"/>
  <c r="R11" i="4"/>
  <c r="K11" i="4"/>
  <c r="I11" i="4"/>
  <c r="H11" i="4"/>
  <c r="G11" i="4"/>
  <c r="F11" i="4"/>
  <c r="E11" i="4"/>
  <c r="D11" i="4"/>
  <c r="C11" i="4"/>
  <c r="J11" i="4" s="1"/>
  <c r="B11" i="4"/>
  <c r="V10" i="4"/>
  <c r="U10" i="4"/>
  <c r="T10" i="4"/>
  <c r="S10" i="4"/>
  <c r="R10" i="4"/>
  <c r="O10" i="4"/>
  <c r="O10" i="3" s="1"/>
  <c r="K10" i="4"/>
  <c r="I10" i="4"/>
  <c r="H10" i="4"/>
  <c r="G10" i="4"/>
  <c r="F10" i="4"/>
  <c r="E10" i="4"/>
  <c r="D10" i="4"/>
  <c r="J10" i="4" s="1"/>
  <c r="C10" i="4"/>
  <c r="B10" i="4"/>
  <c r="V9" i="4"/>
  <c r="U9" i="4"/>
  <c r="T9" i="4"/>
  <c r="S9" i="4"/>
  <c r="R9" i="4"/>
  <c r="K9" i="4"/>
  <c r="J9" i="4"/>
  <c r="I9" i="4"/>
  <c r="H9" i="4"/>
  <c r="G9" i="4"/>
  <c r="F9" i="4"/>
  <c r="E9" i="4"/>
  <c r="D9" i="4"/>
  <c r="C9" i="4"/>
  <c r="B9" i="4"/>
  <c r="V8" i="4"/>
  <c r="U8" i="4"/>
  <c r="T8" i="4"/>
  <c r="S8" i="4"/>
  <c r="R8" i="4"/>
  <c r="I8" i="4"/>
  <c r="H8" i="4"/>
  <c r="G8" i="4"/>
  <c r="F8" i="4"/>
  <c r="E8" i="4"/>
  <c r="D8" i="4"/>
  <c r="C8" i="4"/>
  <c r="J8" i="4" s="1"/>
  <c r="B8" i="4"/>
  <c r="K8" i="4" s="1"/>
  <c r="V7" i="4"/>
  <c r="U7" i="4"/>
  <c r="T7" i="4"/>
  <c r="S7" i="4"/>
  <c r="R7" i="4"/>
  <c r="I7" i="4"/>
  <c r="H7" i="4"/>
  <c r="G7" i="4"/>
  <c r="F7" i="4"/>
  <c r="E7" i="4"/>
  <c r="D7" i="4"/>
  <c r="C7" i="4"/>
  <c r="J7" i="4" s="1"/>
  <c r="B7" i="4"/>
  <c r="K7" i="4" s="1"/>
  <c r="V6" i="4"/>
  <c r="U6" i="4"/>
  <c r="T6" i="4"/>
  <c r="S6" i="4"/>
  <c r="R6" i="4"/>
  <c r="O6" i="4"/>
  <c r="O6" i="3" s="1"/>
  <c r="I6" i="4"/>
  <c r="H6" i="4"/>
  <c r="G6" i="4"/>
  <c r="F6" i="4"/>
  <c r="E6" i="4"/>
  <c r="D6" i="4"/>
  <c r="C6" i="4"/>
  <c r="J6" i="4" s="1"/>
  <c r="B6" i="4"/>
  <c r="K6" i="4" s="1"/>
  <c r="V5" i="4"/>
  <c r="B22" i="5" s="1"/>
  <c r="U5" i="4"/>
  <c r="T5" i="4"/>
  <c r="S5" i="4"/>
  <c r="R5" i="4"/>
  <c r="I5" i="4"/>
  <c r="H5" i="4"/>
  <c r="G5" i="4"/>
  <c r="F5" i="4"/>
  <c r="E5" i="4"/>
  <c r="J5" i="4" s="1"/>
  <c r="D5" i="4"/>
  <c r="C5" i="4"/>
  <c r="B5" i="4"/>
  <c r="V4" i="4"/>
  <c r="U4" i="4"/>
  <c r="T4" i="4"/>
  <c r="S4" i="4"/>
  <c r="R4" i="4"/>
  <c r="K4" i="4"/>
  <c r="J4" i="4"/>
  <c r="I4" i="4"/>
  <c r="H4" i="4"/>
  <c r="G4" i="4"/>
  <c r="F4" i="4"/>
  <c r="E4" i="4"/>
  <c r="D4" i="4"/>
  <c r="C4" i="4"/>
  <c r="B4" i="4"/>
  <c r="V3" i="4"/>
  <c r="U3" i="4"/>
  <c r="T3" i="4"/>
  <c r="S3" i="4"/>
  <c r="R3" i="4"/>
  <c r="I3" i="4"/>
  <c r="H3" i="4"/>
  <c r="G3" i="4"/>
  <c r="F3" i="4"/>
  <c r="E3" i="4"/>
  <c r="D3" i="4"/>
  <c r="C3" i="4"/>
  <c r="J3" i="4" s="1"/>
  <c r="B3" i="4"/>
  <c r="K3" i="4" s="1"/>
  <c r="V2" i="4"/>
  <c r="U2" i="4"/>
  <c r="T2" i="4"/>
  <c r="S2" i="4"/>
  <c r="R2" i="4"/>
  <c r="J2" i="4"/>
  <c r="I2" i="4"/>
  <c r="H2" i="4"/>
  <c r="G2" i="4"/>
  <c r="F2" i="4"/>
  <c r="F30" i="4" s="1"/>
  <c r="E2" i="4"/>
  <c r="E30" i="4" s="1"/>
  <c r="D2" i="4"/>
  <c r="C2" i="4"/>
  <c r="B2" i="4"/>
  <c r="K2" i="4" s="1"/>
  <c r="N29" i="3"/>
  <c r="A29" i="3"/>
  <c r="N28" i="3"/>
  <c r="A28" i="3"/>
  <c r="N27" i="3"/>
  <c r="A27" i="3"/>
  <c r="N26" i="3"/>
  <c r="A26" i="3"/>
  <c r="N25" i="3"/>
  <c r="A25" i="3"/>
  <c r="N24" i="3"/>
  <c r="A24" i="3"/>
  <c r="N23" i="3"/>
  <c r="A23" i="3"/>
  <c r="N22" i="3"/>
  <c r="A22" i="3"/>
  <c r="N21" i="3"/>
  <c r="A21" i="3"/>
  <c r="N20" i="3"/>
  <c r="A20" i="3"/>
  <c r="N19" i="3"/>
  <c r="A19" i="3"/>
  <c r="N18" i="3"/>
  <c r="A18" i="3"/>
  <c r="N17" i="3"/>
  <c r="A17" i="3"/>
  <c r="N16" i="3"/>
  <c r="A16" i="3"/>
  <c r="N15" i="3"/>
  <c r="A15" i="3"/>
  <c r="N14" i="3"/>
  <c r="A14" i="3"/>
  <c r="N13" i="3"/>
  <c r="A13" i="3"/>
  <c r="N12" i="3"/>
  <c r="A12" i="3"/>
  <c r="N11" i="3"/>
  <c r="A11" i="3"/>
  <c r="N10" i="3"/>
  <c r="A10" i="3"/>
  <c r="N9" i="3"/>
  <c r="A9" i="3"/>
  <c r="N8" i="3"/>
  <c r="A8" i="3"/>
  <c r="N7" i="3"/>
  <c r="A7" i="3"/>
  <c r="N6" i="3"/>
  <c r="A6" i="3"/>
  <c r="N5" i="3"/>
  <c r="A5" i="3"/>
  <c r="N4" i="3"/>
  <c r="A4" i="3"/>
  <c r="N3" i="3"/>
  <c r="A3" i="3"/>
  <c r="G3" i="3" s="1"/>
  <c r="N2" i="3"/>
  <c r="A2" i="3"/>
  <c r="I2" i="3" s="1"/>
  <c r="B22" i="1"/>
  <c r="B19" i="1"/>
  <c r="B10" i="1"/>
  <c r="B7" i="1"/>
  <c r="B9" i="1" s="1"/>
  <c r="B6" i="1"/>
  <c r="B5" i="1"/>
  <c r="B4" i="1"/>
  <c r="B3" i="1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C21" i="3" s="1"/>
  <c r="F8" i="2"/>
  <c r="F7" i="2"/>
  <c r="F6" i="2"/>
  <c r="F5" i="2"/>
  <c r="F4" i="2"/>
  <c r="F3" i="2"/>
  <c r="F2" i="2"/>
  <c r="O2" i="4" l="1"/>
  <c r="O2" i="3" s="1"/>
  <c r="O11" i="4"/>
  <c r="O11" i="3" s="1"/>
  <c r="O16" i="4"/>
  <c r="O16" i="3" s="1"/>
  <c r="O21" i="4"/>
  <c r="O21" i="3" s="1"/>
  <c r="W23" i="4"/>
  <c r="O25" i="4"/>
  <c r="O25" i="3" s="1"/>
  <c r="O29" i="4"/>
  <c r="O29" i="3" s="1"/>
  <c r="O28" i="4"/>
  <c r="O28" i="3" s="1"/>
  <c r="O7" i="4"/>
  <c r="O7" i="3" s="1"/>
  <c r="O3" i="4"/>
  <c r="O3" i="3" s="1"/>
  <c r="O8" i="4"/>
  <c r="O8" i="3" s="1"/>
  <c r="O12" i="4"/>
  <c r="O12" i="3" s="1"/>
  <c r="O17" i="4"/>
  <c r="O17" i="3" s="1"/>
  <c r="O13" i="4"/>
  <c r="O13" i="3" s="1"/>
  <c r="O22" i="4"/>
  <c r="O22" i="3" s="1"/>
  <c r="W24" i="4"/>
  <c r="O18" i="4"/>
  <c r="O18" i="3" s="1"/>
  <c r="O4" i="4"/>
  <c r="O4" i="3" s="1"/>
  <c r="O9" i="4"/>
  <c r="O9" i="3" s="1"/>
  <c r="O26" i="4"/>
  <c r="O26" i="3" s="1"/>
  <c r="O14" i="4"/>
  <c r="O14" i="3" s="1"/>
  <c r="O19" i="4"/>
  <c r="O19" i="3" s="1"/>
  <c r="O23" i="4"/>
  <c r="O23" i="3" s="1"/>
  <c r="O27" i="4"/>
  <c r="O27" i="3" s="1"/>
  <c r="O5" i="4"/>
  <c r="O5" i="3" s="1"/>
  <c r="B13" i="3"/>
  <c r="H23" i="3"/>
  <c r="E28" i="3"/>
  <c r="E4" i="3"/>
  <c r="G7" i="3"/>
  <c r="C9" i="3"/>
  <c r="C12" i="3"/>
  <c r="E17" i="3"/>
  <c r="I22" i="3"/>
  <c r="G27" i="3"/>
  <c r="O30" i="4"/>
  <c r="C6" i="5"/>
  <c r="C14" i="5"/>
  <c r="C22" i="5"/>
  <c r="F4" i="3"/>
  <c r="H7" i="3"/>
  <c r="E12" i="3"/>
  <c r="B17" i="3"/>
  <c r="H27" i="3"/>
  <c r="K19" i="4"/>
  <c r="E7" i="5"/>
  <c r="E15" i="5"/>
  <c r="E8" i="3"/>
  <c r="I7" i="3"/>
  <c r="F12" i="3"/>
  <c r="C20" i="3"/>
  <c r="I27" i="3"/>
  <c r="F15" i="5"/>
  <c r="E5" i="3"/>
  <c r="E20" i="3"/>
  <c r="C30" i="4"/>
  <c r="B15" i="1" s="1"/>
  <c r="J15" i="4"/>
  <c r="J30" i="4" s="1"/>
  <c r="H8" i="5"/>
  <c r="H16" i="5"/>
  <c r="C17" i="3"/>
  <c r="E25" i="3"/>
  <c r="F7" i="5"/>
  <c r="I10" i="3"/>
  <c r="G15" i="3"/>
  <c r="B25" i="3"/>
  <c r="B5" i="3"/>
  <c r="H15" i="3"/>
  <c r="F20" i="3"/>
  <c r="C25" i="3"/>
  <c r="D30" i="4"/>
  <c r="B12" i="1"/>
  <c r="I8" i="5"/>
  <c r="I16" i="5"/>
  <c r="H24" i="5"/>
  <c r="C5" i="3"/>
  <c r="C8" i="3"/>
  <c r="E13" i="3"/>
  <c r="I15" i="3"/>
  <c r="I18" i="3"/>
  <c r="G23" i="3"/>
  <c r="C28" i="3"/>
  <c r="B2" i="5"/>
  <c r="B10" i="5"/>
  <c r="B18" i="5"/>
  <c r="I24" i="5"/>
  <c r="I26" i="3"/>
  <c r="H30" i="4"/>
  <c r="F3" i="5"/>
  <c r="E27" i="5"/>
  <c r="H3" i="3"/>
  <c r="C13" i="3"/>
  <c r="E21" i="3"/>
  <c r="F28" i="3"/>
  <c r="E19" i="5"/>
  <c r="I6" i="3"/>
  <c r="G11" i="3"/>
  <c r="C16" i="3"/>
  <c r="B21" i="3"/>
  <c r="F19" i="5"/>
  <c r="H11" i="3"/>
  <c r="E16" i="3"/>
  <c r="G19" i="3"/>
  <c r="C24" i="3"/>
  <c r="E29" i="3"/>
  <c r="I30" i="4"/>
  <c r="H4" i="5"/>
  <c r="H12" i="5"/>
  <c r="H20" i="5"/>
  <c r="F27" i="5"/>
  <c r="D17" i="3"/>
  <c r="G8" i="3"/>
  <c r="G16" i="3"/>
  <c r="G28" i="3"/>
  <c r="G24" i="3"/>
  <c r="D13" i="3"/>
  <c r="D5" i="3"/>
  <c r="G20" i="3"/>
  <c r="G12" i="3"/>
  <c r="G4" i="3"/>
  <c r="D25" i="3"/>
  <c r="D29" i="3"/>
  <c r="D21" i="3"/>
  <c r="L21" i="3" s="1"/>
  <c r="D9" i="3"/>
  <c r="B8" i="1"/>
  <c r="I23" i="3"/>
  <c r="G30" i="4"/>
  <c r="E3" i="5"/>
  <c r="I3" i="3"/>
  <c r="F11" i="5"/>
  <c r="E9" i="3"/>
  <c r="I11" i="3"/>
  <c r="F14" i="3"/>
  <c r="F16" i="3"/>
  <c r="H19" i="3"/>
  <c r="E24" i="3"/>
  <c r="B29" i="3"/>
  <c r="J29" i="4"/>
  <c r="I4" i="5"/>
  <c r="I12" i="5"/>
  <c r="I20" i="5"/>
  <c r="F8" i="3"/>
  <c r="E11" i="5"/>
  <c r="D28" i="3"/>
  <c r="B23" i="1"/>
  <c r="H4" i="3"/>
  <c r="B9" i="3"/>
  <c r="I19" i="3"/>
  <c r="F24" i="3"/>
  <c r="C29" i="3"/>
  <c r="J17" i="4"/>
  <c r="J22" i="4"/>
  <c r="B21" i="1"/>
  <c r="B20" i="1"/>
  <c r="U30" i="4"/>
  <c r="T30" i="4"/>
  <c r="B6" i="5"/>
  <c r="B14" i="5"/>
  <c r="B30" i="4"/>
  <c r="D2" i="5"/>
  <c r="G3" i="5"/>
  <c r="J4" i="5"/>
  <c r="D6" i="5"/>
  <c r="G7" i="5"/>
  <c r="D10" i="5"/>
  <c r="G11" i="5"/>
  <c r="D14" i="5"/>
  <c r="G15" i="5"/>
  <c r="D18" i="5"/>
  <c r="G19" i="5"/>
  <c r="D22" i="5"/>
  <c r="D26" i="5"/>
  <c r="G27" i="5"/>
  <c r="B2" i="3"/>
  <c r="B6" i="3"/>
  <c r="H8" i="3"/>
  <c r="B10" i="3"/>
  <c r="H12" i="3"/>
  <c r="B14" i="3"/>
  <c r="H16" i="3"/>
  <c r="B18" i="3"/>
  <c r="H20" i="3"/>
  <c r="B22" i="3"/>
  <c r="H24" i="3"/>
  <c r="B26" i="3"/>
  <c r="H28" i="3"/>
  <c r="E2" i="5"/>
  <c r="H3" i="5"/>
  <c r="B5" i="5"/>
  <c r="E6" i="5"/>
  <c r="H7" i="5"/>
  <c r="B9" i="5"/>
  <c r="E10" i="5"/>
  <c r="H11" i="5"/>
  <c r="B13" i="5"/>
  <c r="E14" i="5"/>
  <c r="H15" i="5"/>
  <c r="B17" i="5"/>
  <c r="E18" i="5"/>
  <c r="H19" i="5"/>
  <c r="B21" i="5"/>
  <c r="E22" i="5"/>
  <c r="H23" i="5"/>
  <c r="B25" i="5"/>
  <c r="E26" i="5"/>
  <c r="H27" i="5"/>
  <c r="B29" i="5"/>
  <c r="B11" i="1"/>
  <c r="C2" i="3"/>
  <c r="I4" i="3"/>
  <c r="F5" i="3"/>
  <c r="C6" i="3"/>
  <c r="I8" i="3"/>
  <c r="F9" i="3"/>
  <c r="C10" i="3"/>
  <c r="I12" i="3"/>
  <c r="F13" i="3"/>
  <c r="C14" i="3"/>
  <c r="I16" i="3"/>
  <c r="F17" i="3"/>
  <c r="C18" i="3"/>
  <c r="I20" i="3"/>
  <c r="F21" i="3"/>
  <c r="C22" i="3"/>
  <c r="I24" i="3"/>
  <c r="F25" i="3"/>
  <c r="C26" i="3"/>
  <c r="I28" i="3"/>
  <c r="F29" i="3"/>
  <c r="R30" i="4"/>
  <c r="F2" i="5"/>
  <c r="I3" i="5"/>
  <c r="C5" i="5"/>
  <c r="F6" i="5"/>
  <c r="I7" i="5"/>
  <c r="C9" i="5"/>
  <c r="F10" i="5"/>
  <c r="I11" i="5"/>
  <c r="C13" i="5"/>
  <c r="F14" i="5"/>
  <c r="I15" i="5"/>
  <c r="C17" i="5"/>
  <c r="F18" i="5"/>
  <c r="I19" i="5"/>
  <c r="C21" i="5"/>
  <c r="F22" i="5"/>
  <c r="I23" i="5"/>
  <c r="C25" i="5"/>
  <c r="F26" i="5"/>
  <c r="I27" i="5"/>
  <c r="C29" i="5"/>
  <c r="G9" i="3"/>
  <c r="G29" i="3"/>
  <c r="G2" i="5"/>
  <c r="J3" i="5"/>
  <c r="D5" i="5"/>
  <c r="G6" i="5"/>
  <c r="D9" i="5"/>
  <c r="G10" i="5"/>
  <c r="D13" i="5"/>
  <c r="G14" i="5"/>
  <c r="D17" i="5"/>
  <c r="G18" i="5"/>
  <c r="D21" i="5"/>
  <c r="G22" i="5"/>
  <c r="D25" i="5"/>
  <c r="G26" i="5"/>
  <c r="D29" i="5"/>
  <c r="G5" i="3"/>
  <c r="D10" i="3"/>
  <c r="D18" i="3"/>
  <c r="G21" i="3"/>
  <c r="D22" i="3"/>
  <c r="B13" i="1"/>
  <c r="E2" i="3"/>
  <c r="B3" i="3"/>
  <c r="H5" i="3"/>
  <c r="E6" i="3"/>
  <c r="B7" i="3"/>
  <c r="H9" i="3"/>
  <c r="E10" i="3"/>
  <c r="B11" i="3"/>
  <c r="H13" i="3"/>
  <c r="E14" i="3"/>
  <c r="B15" i="3"/>
  <c r="H17" i="3"/>
  <c r="E18" i="3"/>
  <c r="B19" i="3"/>
  <c r="H21" i="3"/>
  <c r="E22" i="3"/>
  <c r="B23" i="3"/>
  <c r="H25" i="3"/>
  <c r="E26" i="3"/>
  <c r="B27" i="3"/>
  <c r="H29" i="3"/>
  <c r="K5" i="4"/>
  <c r="H2" i="5"/>
  <c r="B4" i="5"/>
  <c r="E5" i="5"/>
  <c r="H6" i="5"/>
  <c r="B8" i="5"/>
  <c r="E9" i="5"/>
  <c r="H10" i="5"/>
  <c r="B12" i="5"/>
  <c r="E13" i="5"/>
  <c r="H14" i="5"/>
  <c r="B16" i="5"/>
  <c r="E17" i="5"/>
  <c r="H18" i="5"/>
  <c r="B20" i="5"/>
  <c r="E21" i="5"/>
  <c r="H22" i="5"/>
  <c r="B24" i="5"/>
  <c r="E25" i="5"/>
  <c r="H26" i="5"/>
  <c r="B28" i="5"/>
  <c r="E29" i="5"/>
  <c r="D6" i="3"/>
  <c r="B14" i="1"/>
  <c r="I9" i="3"/>
  <c r="C19" i="3"/>
  <c r="C23" i="3"/>
  <c r="I25" i="3"/>
  <c r="C27" i="3"/>
  <c r="I29" i="3"/>
  <c r="I2" i="5"/>
  <c r="C4" i="5"/>
  <c r="F5" i="5"/>
  <c r="I6" i="5"/>
  <c r="C8" i="5"/>
  <c r="F9" i="5"/>
  <c r="I10" i="5"/>
  <c r="C12" i="5"/>
  <c r="F13" i="5"/>
  <c r="I14" i="5"/>
  <c r="C16" i="5"/>
  <c r="F17" i="5"/>
  <c r="I18" i="5"/>
  <c r="C20" i="5"/>
  <c r="F21" i="5"/>
  <c r="I22" i="5"/>
  <c r="C24" i="5"/>
  <c r="F25" i="5"/>
  <c r="I26" i="5"/>
  <c r="C28" i="5"/>
  <c r="F29" i="5"/>
  <c r="D14" i="3"/>
  <c r="C3" i="3"/>
  <c r="I17" i="3"/>
  <c r="G2" i="3"/>
  <c r="D3" i="3"/>
  <c r="G6" i="3"/>
  <c r="D7" i="3"/>
  <c r="G10" i="3"/>
  <c r="D11" i="3"/>
  <c r="G14" i="3"/>
  <c r="D15" i="3"/>
  <c r="G18" i="3"/>
  <c r="D19" i="3"/>
  <c r="G22" i="3"/>
  <c r="D23" i="3"/>
  <c r="G26" i="3"/>
  <c r="D27" i="3"/>
  <c r="J2" i="5"/>
  <c r="D4" i="5"/>
  <c r="G5" i="5"/>
  <c r="D8" i="5"/>
  <c r="G9" i="5"/>
  <c r="D12" i="5"/>
  <c r="G13" i="5"/>
  <c r="D16" i="5"/>
  <c r="G17" i="5"/>
  <c r="D20" i="5"/>
  <c r="G21" i="5"/>
  <c r="D24" i="5"/>
  <c r="G25" i="5"/>
  <c r="D28" i="5"/>
  <c r="G29" i="5"/>
  <c r="G13" i="3"/>
  <c r="G25" i="3"/>
  <c r="C11" i="3"/>
  <c r="C15" i="3"/>
  <c r="B4" i="3"/>
  <c r="E7" i="3"/>
  <c r="B8" i="3"/>
  <c r="H10" i="3"/>
  <c r="E11" i="3"/>
  <c r="B12" i="3"/>
  <c r="E15" i="3"/>
  <c r="B16" i="3"/>
  <c r="H18" i="3"/>
  <c r="E19" i="3"/>
  <c r="B20" i="3"/>
  <c r="H22" i="3"/>
  <c r="E23" i="3"/>
  <c r="B24" i="3"/>
  <c r="H26" i="3"/>
  <c r="E27" i="3"/>
  <c r="B28" i="3"/>
  <c r="B3" i="5"/>
  <c r="E4" i="5"/>
  <c r="H5" i="5"/>
  <c r="B7" i="5"/>
  <c r="E8" i="5"/>
  <c r="H9" i="5"/>
  <c r="B11" i="5"/>
  <c r="E12" i="5"/>
  <c r="H13" i="5"/>
  <c r="B15" i="5"/>
  <c r="E16" i="5"/>
  <c r="H17" i="5"/>
  <c r="B19" i="5"/>
  <c r="E20" i="5"/>
  <c r="H21" i="5"/>
  <c r="B23" i="5"/>
  <c r="E24" i="5"/>
  <c r="H25" i="5"/>
  <c r="B27" i="5"/>
  <c r="E28" i="5"/>
  <c r="H29" i="5"/>
  <c r="D2" i="3"/>
  <c r="G17" i="3"/>
  <c r="D26" i="3"/>
  <c r="F2" i="3"/>
  <c r="I5" i="3"/>
  <c r="F6" i="3"/>
  <c r="C7" i="3"/>
  <c r="F10" i="3"/>
  <c r="I13" i="3"/>
  <c r="F18" i="3"/>
  <c r="I21" i="3"/>
  <c r="F22" i="3"/>
  <c r="F26" i="3"/>
  <c r="H2" i="3"/>
  <c r="E3" i="3"/>
  <c r="H6" i="3"/>
  <c r="H14" i="3"/>
  <c r="F3" i="3"/>
  <c r="C4" i="3"/>
  <c r="F7" i="3"/>
  <c r="F11" i="3"/>
  <c r="I14" i="3"/>
  <c r="F15" i="3"/>
  <c r="F19" i="3"/>
  <c r="F23" i="3"/>
  <c r="F27" i="3"/>
  <c r="C3" i="5"/>
  <c r="F4" i="5"/>
  <c r="I5" i="5"/>
  <c r="C7" i="5"/>
  <c r="F8" i="5"/>
  <c r="I9" i="5"/>
  <c r="C11" i="5"/>
  <c r="F12" i="5"/>
  <c r="I13" i="5"/>
  <c r="C15" i="5"/>
  <c r="F16" i="5"/>
  <c r="I17" i="5"/>
  <c r="C19" i="5"/>
  <c r="F20" i="5"/>
  <c r="I21" i="5"/>
  <c r="C23" i="5"/>
  <c r="F24" i="5"/>
  <c r="I25" i="5"/>
  <c r="C27" i="5"/>
  <c r="F28" i="5"/>
  <c r="I29" i="5"/>
  <c r="D4" i="3"/>
  <c r="D8" i="3"/>
  <c r="D12" i="3"/>
  <c r="D16" i="3"/>
  <c r="D20" i="3"/>
  <c r="D24" i="3"/>
  <c r="D3" i="5"/>
  <c r="G4" i="5"/>
  <c r="D7" i="5"/>
  <c r="G8" i="5"/>
  <c r="D11" i="5"/>
  <c r="G12" i="5"/>
  <c r="D15" i="5"/>
  <c r="G16" i="5"/>
  <c r="D19" i="5"/>
  <c r="G20" i="5"/>
  <c r="D23" i="5"/>
  <c r="G24" i="5"/>
  <c r="D27" i="5"/>
  <c r="G28" i="5"/>
  <c r="J14" i="3" l="1"/>
  <c r="M14" i="3" s="1"/>
  <c r="K14" i="3"/>
  <c r="L14" i="3"/>
  <c r="L24" i="3"/>
  <c r="K24" i="3"/>
  <c r="J24" i="3"/>
  <c r="M24" i="3" s="1"/>
  <c r="L13" i="3"/>
  <c r="K13" i="3"/>
  <c r="J13" i="3"/>
  <c r="M13" i="3" s="1"/>
  <c r="L12" i="3"/>
  <c r="J12" i="3"/>
  <c r="M12" i="3" s="1"/>
  <c r="K12" i="3"/>
  <c r="L9" i="3"/>
  <c r="K9" i="3"/>
  <c r="J9" i="3"/>
  <c r="M9" i="3" s="1"/>
  <c r="J26" i="3"/>
  <c r="M26" i="3" s="1"/>
  <c r="L26" i="3"/>
  <c r="K26" i="3"/>
  <c r="J10" i="3"/>
  <c r="M10" i="3" s="1"/>
  <c r="L10" i="3"/>
  <c r="K10" i="3"/>
  <c r="L15" i="3"/>
  <c r="K15" i="3"/>
  <c r="J15" i="3"/>
  <c r="M15" i="3" s="1"/>
  <c r="J8" i="3"/>
  <c r="M8" i="3" s="1"/>
  <c r="L8" i="3"/>
  <c r="K8" i="3"/>
  <c r="L25" i="3"/>
  <c r="K25" i="3"/>
  <c r="J25" i="3"/>
  <c r="M25" i="3" s="1"/>
  <c r="L5" i="3"/>
  <c r="K5" i="3"/>
  <c r="J5" i="3"/>
  <c r="M5" i="3" s="1"/>
  <c r="L29" i="3"/>
  <c r="K29" i="3"/>
  <c r="J29" i="3"/>
  <c r="M29" i="3" s="1"/>
  <c r="J22" i="3"/>
  <c r="M22" i="3" s="1"/>
  <c r="L22" i="3"/>
  <c r="K22" i="3"/>
  <c r="J6" i="3"/>
  <c r="M6" i="3" s="1"/>
  <c r="L6" i="3"/>
  <c r="K6" i="3"/>
  <c r="J20" i="3"/>
  <c r="M20" i="3" s="1"/>
  <c r="L20" i="3"/>
  <c r="K20" i="3"/>
  <c r="J11" i="3"/>
  <c r="M11" i="3" s="1"/>
  <c r="L11" i="3"/>
  <c r="K11" i="3"/>
  <c r="J4" i="3"/>
  <c r="M4" i="3" s="1"/>
  <c r="L4" i="3"/>
  <c r="K4" i="3"/>
  <c r="J7" i="3"/>
  <c r="M7" i="3" s="1"/>
  <c r="L7" i="3"/>
  <c r="K7" i="3"/>
  <c r="L16" i="3"/>
  <c r="K16" i="3"/>
  <c r="J16" i="3"/>
  <c r="M16" i="3" s="1"/>
  <c r="J27" i="3"/>
  <c r="M27" i="3" s="1"/>
  <c r="L27" i="3"/>
  <c r="K27" i="3"/>
  <c r="J18" i="3"/>
  <c r="M18" i="3" s="1"/>
  <c r="L18" i="3"/>
  <c r="K18" i="3"/>
  <c r="J2" i="3"/>
  <c r="L2" i="3"/>
  <c r="K2" i="3"/>
  <c r="L17" i="3"/>
  <c r="K17" i="3"/>
  <c r="J17" i="3"/>
  <c r="M17" i="3" s="1"/>
  <c r="J21" i="3"/>
  <c r="M21" i="3" s="1"/>
  <c r="L3" i="3"/>
  <c r="J3" i="3"/>
  <c r="M3" i="3" s="1"/>
  <c r="K3" i="3"/>
  <c r="J23" i="3"/>
  <c r="M23" i="3" s="1"/>
  <c r="L23" i="3"/>
  <c r="K23" i="3"/>
  <c r="K21" i="3"/>
  <c r="J19" i="3"/>
  <c r="M19" i="3" s="1"/>
  <c r="L19" i="3"/>
  <c r="K19" i="3"/>
  <c r="W19" i="4"/>
  <c r="J8" i="5" s="1"/>
  <c r="W7" i="4"/>
  <c r="J27" i="5" s="1"/>
  <c r="W26" i="4"/>
  <c r="J29" i="5" s="1"/>
  <c r="W14" i="4"/>
  <c r="J16" i="5" s="1"/>
  <c r="W2" i="4"/>
  <c r="W21" i="4"/>
  <c r="J17" i="5" s="1"/>
  <c r="W9" i="4"/>
  <c r="J20" i="5" s="1"/>
  <c r="W28" i="4"/>
  <c r="J14" i="5" s="1"/>
  <c r="W16" i="4"/>
  <c r="J10" i="5" s="1"/>
  <c r="W4" i="4"/>
  <c r="J28" i="5" s="1"/>
  <c r="W11" i="4"/>
  <c r="J12" i="5" s="1"/>
  <c r="W18" i="4"/>
  <c r="J18" i="5" s="1"/>
  <c r="W6" i="4"/>
  <c r="J22" i="5" s="1"/>
  <c r="W13" i="4"/>
  <c r="J7" i="5" s="1"/>
  <c r="W22" i="4"/>
  <c r="J5" i="5" s="1"/>
  <c r="W20" i="4"/>
  <c r="J26" i="5" s="1"/>
  <c r="W8" i="4"/>
  <c r="J21" i="5" s="1"/>
  <c r="W27" i="4"/>
  <c r="J19" i="5" s="1"/>
  <c r="W15" i="4"/>
  <c r="J13" i="5" s="1"/>
  <c r="W3" i="4"/>
  <c r="J25" i="5" s="1"/>
  <c r="W10" i="4"/>
  <c r="J11" i="5" s="1"/>
  <c r="W17" i="4"/>
  <c r="J6" i="5" s="1"/>
  <c r="W29" i="4"/>
  <c r="J15" i="5" s="1"/>
  <c r="W12" i="4"/>
  <c r="J9" i="5" s="1"/>
  <c r="W5" i="4"/>
  <c r="J24" i="5" s="1"/>
  <c r="J28" i="3"/>
  <c r="M28" i="3" s="1"/>
  <c r="L28" i="3"/>
  <c r="K28" i="3"/>
  <c r="K30" i="3" l="1"/>
  <c r="L30" i="3"/>
  <c r="J30" i="3"/>
  <c r="M2" i="3"/>
  <c r="M30" i="3" s="1"/>
  <c r="W30" i="4"/>
  <c r="J23" i="5"/>
</calcChain>
</file>

<file path=xl/sharedStrings.xml><?xml version="1.0" encoding="utf-8"?>
<sst xmlns="http://schemas.openxmlformats.org/spreadsheetml/2006/main" count="530" uniqueCount="288">
  <si>
    <t>Seção</t>
  </si>
  <si>
    <t>Função</t>
  </si>
  <si>
    <t>E-mail</t>
  </si>
  <si>
    <t>Nome</t>
  </si>
  <si>
    <t>Presença</t>
  </si>
  <si>
    <t>Chave (auxiliar)</t>
  </si>
  <si>
    <t>Presidente</t>
  </si>
  <si>
    <t>Felipegustavo.ie@outlook.com</t>
  </si>
  <si>
    <t>FELIPE PEREIRA DE SOUZA GUSTAVO</t>
  </si>
  <si>
    <t>SIM</t>
  </si>
  <si>
    <t>1º Mesário</t>
  </si>
  <si>
    <t>Ericcount19@hotmail.com</t>
  </si>
  <si>
    <t>ERIC DA SILVA MEDEIROS</t>
  </si>
  <si>
    <t>2º Mesário</t>
  </si>
  <si>
    <t>ludmilamaiamaciel@gmail.com</t>
  </si>
  <si>
    <t>LUDMILA MAIA MACIEL</t>
  </si>
  <si>
    <t>1º Secretário</t>
  </si>
  <si>
    <t>beabertocco@gmail.com</t>
  </si>
  <si>
    <t>BEATRIZ CARACANHA BERTOCCO</t>
  </si>
  <si>
    <t>anaclaudiamazurok@gmail.com</t>
  </si>
  <si>
    <t>ANA CLAUDIA MAZUROK</t>
  </si>
  <si>
    <t>NAO</t>
  </si>
  <si>
    <t>caiorossiter@gmail.com</t>
  </si>
  <si>
    <t>CAIO CESAR ROSSITER</t>
  </si>
  <si>
    <t>camilamouramartins1987@gmail.com</t>
  </si>
  <si>
    <t>CAMILA MOURA MARTINS</t>
  </si>
  <si>
    <t>tbbfelix@gmail.com</t>
  </si>
  <si>
    <t>THAISA BERNARDES BUENO FELIX</t>
  </si>
  <si>
    <t>bianca.goulart@itamaraty.gov.br</t>
  </si>
  <si>
    <t>BIANCA ARAGONE RODRIGUES GOULART</t>
  </si>
  <si>
    <t>Luizsmania1@gmail.com</t>
  </si>
  <si>
    <t>LUIZ HENRIQUE DE SOUSA SMANIA</t>
  </si>
  <si>
    <t>isabelabattisti@gmail.com</t>
  </si>
  <si>
    <t>ISABELA FERNANDES BATTISTI PETRIS</t>
  </si>
  <si>
    <t>aline.barros@outlook.com</t>
  </si>
  <si>
    <t>ALINE BARROS DE LIRA</t>
  </si>
  <si>
    <t>DAIANELEALG@GMAIL.COM</t>
  </si>
  <si>
    <t>DAIANE LEAL GOMES</t>
  </si>
  <si>
    <t>cinthia_ralmeida2@hotmail.com</t>
  </si>
  <si>
    <t>CINTHIA RODRIGUES DE ALMEIDA</t>
  </si>
  <si>
    <t xml:space="preserve">rafaelrodrigues2011@gmail.com </t>
  </si>
  <si>
    <t>RAFAEL DRUMMOND RODRIGUES</t>
  </si>
  <si>
    <t>tucanamariana@gmail.com</t>
  </si>
  <si>
    <t>MARIANA MACIEL DOS SANTOS SOUZA</t>
  </si>
  <si>
    <t>pamela.silva@itamaraty.gov.br</t>
  </si>
  <si>
    <t>PAMELA NASCIMENTO DA SILVA</t>
  </si>
  <si>
    <t>0006/2026</t>
  </si>
  <si>
    <t>arthurgf96@gmail.com</t>
  </si>
  <si>
    <t>ARTHUR GRIZ FERREIRA</t>
  </si>
  <si>
    <t>crislainedealmeida@hotmail.com</t>
  </si>
  <si>
    <t>CRISLAINE DE SOUZA ALMEIDA</t>
  </si>
  <si>
    <t>cintiadosantos4@gmail.com</t>
  </si>
  <si>
    <t>CINTIA DOS SANTOS</t>
  </si>
  <si>
    <t>nayara.mendes@itamaraty.gov.br</t>
  </si>
  <si>
    <t>NAYARA GIROTO MENDES</t>
  </si>
  <si>
    <t>jessicaoliveira9316@gmail.com</t>
  </si>
  <si>
    <t>JESSICA DE OLIVEIRA</t>
  </si>
  <si>
    <t>ana.spelias@gmail.com</t>
  </si>
  <si>
    <t>ANA PAULA DA SILVA ELIAS</t>
  </si>
  <si>
    <t>dener.asm@gmail.com</t>
  </si>
  <si>
    <t>DENER AUGUSTO SALES MACHADO</t>
  </si>
  <si>
    <t>fabiola.malta@itamaraty.gov.br</t>
  </si>
  <si>
    <t>FABIOLA CRISTIANE DA SILVA MALTA</t>
  </si>
  <si>
    <t>wellingtons24.santos@gmail.com</t>
  </si>
  <si>
    <t>WELLINGTON DOS SANTOS</t>
  </si>
  <si>
    <t>almeidaedi@gmail.com</t>
  </si>
  <si>
    <t>EDINEIA DE ALMEIDA GOMES</t>
  </si>
  <si>
    <t>gabrielsoares2111@gmail.com</t>
  </si>
  <si>
    <t>GABRIEL SOARES DE CARVALHO</t>
  </si>
  <si>
    <t>tulio.neves@itamaraty.gov.br</t>
  </si>
  <si>
    <t>TULIO CARLOS DE MOURA NEVES</t>
  </si>
  <si>
    <t>tfregnani@outlook.com</t>
  </si>
  <si>
    <t>TATIANE CRISTINA FREGNANI</t>
  </si>
  <si>
    <t>danielalmelo@gmail.com</t>
  </si>
  <si>
    <t>DANIELA LIMA DE MELO CARETTE</t>
  </si>
  <si>
    <t>passos.matheus@gmail.com</t>
  </si>
  <si>
    <t>MATHEUS PASSOS MENDES</t>
  </si>
  <si>
    <t>fernanda@brazilirelandchamber.com</t>
  </si>
  <si>
    <t>FERNANDA LIMA HERMANSON CARVALHO LOPES</t>
  </si>
  <si>
    <t>daniel20022304@gmail.com</t>
  </si>
  <si>
    <t>DANIEL DOS SANTOS JORGE</t>
  </si>
  <si>
    <t>ingridmach@hotmail.com</t>
  </si>
  <si>
    <t>INGRID MACHADO DOS REIS</t>
  </si>
  <si>
    <t>dulliusdaniela@gmail.com</t>
  </si>
  <si>
    <t>DANIELA HADWIG DULLIUS</t>
  </si>
  <si>
    <t>beatrizgilli@hotmail.com</t>
  </si>
  <si>
    <t>BEATRIZ GILLI HADG KARKACHI</t>
  </si>
  <si>
    <t>anabellacastroie@gmail.com</t>
  </si>
  <si>
    <t>ANABELLA ALVES DE CASTRO</t>
  </si>
  <si>
    <t>juli_tico@hotmail.com</t>
  </si>
  <si>
    <t>JULIANA CASSIA TAVARES DE SOUSA</t>
  </si>
  <si>
    <t>lincolnguedesc@gmail.com</t>
  </si>
  <si>
    <t>LINCOLN CUBAS GUEDES</t>
  </si>
  <si>
    <t>Marcelatkondo@gmail.com</t>
  </si>
  <si>
    <t>MARCELA TIYOKO PASSOS KONDO</t>
  </si>
  <si>
    <t>talita.montysuma@gmail.com</t>
  </si>
  <si>
    <t>TALITA MORTARI MONTYSUMA</t>
  </si>
  <si>
    <t>nvlousada@gmail.com</t>
  </si>
  <si>
    <t>NASTASSJA VERONICA LOUSADA GOMES</t>
  </si>
  <si>
    <t>anthonyedasilvagapito@gmail.com</t>
  </si>
  <si>
    <t>ANTHONY EDWARD DA SILVA AGAPITO</t>
  </si>
  <si>
    <t>rochae@tcd.ie</t>
  </si>
  <si>
    <t>ELTON APARECIDO ROCHA</t>
  </si>
  <si>
    <t>andersonsilverio14@gmail.com</t>
  </si>
  <si>
    <t>ANDERSON SILVERIO DE OLIVEIRA</t>
  </si>
  <si>
    <t>jussara.veneza@hotmail.com</t>
  </si>
  <si>
    <t>JUSSARA VENEZA SOARES</t>
  </si>
  <si>
    <t>perontayna@gmail.com</t>
  </si>
  <si>
    <t>TAYNA STETELI PERON LOPES SILVA</t>
  </si>
  <si>
    <t>julianacampos21@hotmail.com</t>
  </si>
  <si>
    <t>JULIANA HENRIQUE CAMPOS SILVA</t>
  </si>
  <si>
    <t>lilianebr.dublin@gmail.com</t>
  </si>
  <si>
    <t>LILIANE SILVA DE SOUZA</t>
  </si>
  <si>
    <t>jack_610aparecida@hormail.com</t>
  </si>
  <si>
    <t>JAQUELINE APARECIDA TEIXEIRA</t>
  </si>
  <si>
    <t>iglesias_diogo@hotmail.com</t>
  </si>
  <si>
    <t>DIOGO IGLESIAS CORDEIRO</t>
  </si>
  <si>
    <t>ediones.savaris@gmail.com</t>
  </si>
  <si>
    <t>EDIONES DINIZ SAVARIS</t>
  </si>
  <si>
    <t>sousa.franciscaa@gmail.com</t>
  </si>
  <si>
    <t>FRANCISCA THAMIRES DE SOUSA</t>
  </si>
  <si>
    <t>auroramomolina@icloud.com</t>
  </si>
  <si>
    <t>AURORA MADRIL OLIVEIRA MOLINA</t>
  </si>
  <si>
    <t>lcaprezzi@gmail.com</t>
  </si>
  <si>
    <t>LUCAS FEITOSA CLAUDINO</t>
  </si>
  <si>
    <t>marianagasparetti@gmail.com</t>
  </si>
  <si>
    <t>MARIANA JURANDIR GASPARETTI</t>
  </si>
  <si>
    <t>sem contato</t>
  </si>
  <si>
    <t>JOAO GABRIEL BARBOSA CESAR</t>
  </si>
  <si>
    <t>TALITA DE ARAUJO CARVALHO</t>
  </si>
  <si>
    <t xml:space="preserve"> voliveira@gmail.com</t>
  </si>
  <si>
    <t>VINICIUS ARAUJO DE OLIVEIRA</t>
  </si>
  <si>
    <t>-</t>
  </si>
  <si>
    <t>malumorgante@gmail.com</t>
  </si>
  <si>
    <t>MARIA LUCIA MORGANTE DE MIRANDA</t>
  </si>
  <si>
    <t>s.caetanoregina1979@gmail.com</t>
  </si>
  <si>
    <t>SANDRA REGINA CAETANO DE SOUZA</t>
  </si>
  <si>
    <t>renan.williandc@gmail.com</t>
  </si>
  <si>
    <t>RENAN WILLIAN DA COSTA</t>
  </si>
  <si>
    <t>Tiagocare@icloud.com</t>
  </si>
  <si>
    <t>TIAGO PAIVA DE CARVALHO</t>
  </si>
  <si>
    <t>SARA RODRIGUES GOMES</t>
  </si>
  <si>
    <t xml:space="preserve">353helenafranmalves@gmail.com </t>
  </si>
  <si>
    <t>MARIA HELENA DE FRANÇA MELLO ALVES</t>
  </si>
  <si>
    <t>ftrindade3411@gmail.com</t>
  </si>
  <si>
    <t>FÁBIO MARCELO DA TRINDADE</t>
  </si>
  <si>
    <t>fagneralmeidamorais@gmail.com</t>
  </si>
  <si>
    <t>FAGNER DE PAULA ALMEIDA MORAIS</t>
  </si>
  <si>
    <t>julianawongm@gmail.com</t>
  </si>
  <si>
    <t>JULIANA WONG MENDONÇA</t>
  </si>
  <si>
    <t xml:space="preserve">luisamontecarmelo@gmail.com </t>
  </si>
  <si>
    <t>LUISA OLIVEIRA DO MONTE CARMELO</t>
  </si>
  <si>
    <t>maiik5463@hotmail.com</t>
  </si>
  <si>
    <t>MICHAEL DA COSTA MUNIZ</t>
  </si>
  <si>
    <t>matheuslw@gmail.com</t>
  </si>
  <si>
    <t>MATHEUS CARVALHO MENDONCA</t>
  </si>
  <si>
    <t>kaique.aquino.oliveira@esb.ie</t>
  </si>
  <si>
    <t>KAIQUE AQUINO OLIVEIRA</t>
  </si>
  <si>
    <t>krla.dublin16@gmail.com</t>
  </si>
  <si>
    <t>CARLA RIBEIRO DOS SANTOS SIMOES</t>
  </si>
  <si>
    <t>louiseandrielleprandi@gmail.com</t>
  </si>
  <si>
    <t>LOUISE ANDRIELLE PRANDI</t>
  </si>
  <si>
    <t>paulalimao88@hotmail.com</t>
  </si>
  <si>
    <t>PAULA LIMÃO DE CAMPOS</t>
  </si>
  <si>
    <t>rogergoes@hotmail.com</t>
  </si>
  <si>
    <t>ROGERIO LINHARES GOES</t>
  </si>
  <si>
    <t>paulacipro@gmail.com</t>
  </si>
  <si>
    <t>PAULA CIPRO CARVALHO CAMPOS</t>
  </si>
  <si>
    <t>luamdmoreira@gmail.com</t>
  </si>
  <si>
    <t>LUAM DUANE ANDRADE MOREIRA</t>
  </si>
  <si>
    <t>SARA SOBRAL DIAS</t>
  </si>
  <si>
    <t>saradias1@gmail.com</t>
  </si>
  <si>
    <t>FLAVIA NASCIMENTO DE SOUZA</t>
  </si>
  <si>
    <t xml:space="preserve"> rodrigoerasmobarboza@gmail.com</t>
  </si>
  <si>
    <t>RODRIGO ERASMO BARBOZA</t>
  </si>
  <si>
    <t>ednaldo283@gmail.com</t>
  </si>
  <si>
    <t>EDNALDO AZEVEDO DE NORONHA</t>
  </si>
  <si>
    <t>thaisterencio@hotmail.com</t>
  </si>
  <si>
    <t>THAÍS TERÊNCIO PEREIRA</t>
  </si>
  <si>
    <t>vanessa.barbosa@itamaraty.gov.br</t>
  </si>
  <si>
    <t>VANESSA ROCHA BARBOSA BARBALHO</t>
  </si>
  <si>
    <t>leilarosaria@yahoo.com.br</t>
  </si>
  <si>
    <t>LEILA ROSARIA LIOTTA</t>
  </si>
  <si>
    <t xml:space="preserve">danielpessoa.cardeal@gmail.com </t>
  </si>
  <si>
    <t>DANIEL PESSOA CARDEAL</t>
  </si>
  <si>
    <t>sandro.cunha2008@gmail.com</t>
  </si>
  <si>
    <t>SANDRO CUNHA DA SILVA</t>
  </si>
  <si>
    <t>jair.correia@itamaraty.gov.br</t>
  </si>
  <si>
    <t>JAIR DE ASSUNÇÃO CORREIA FILHO</t>
  </si>
  <si>
    <t>alaf.ribeiro.965@gmail.com</t>
  </si>
  <si>
    <t>HUMBERTO ALAF RIBEIRO MARTINS</t>
  </si>
  <si>
    <t>jmendes_mendes@live.com</t>
  </si>
  <si>
    <t>JESSICA MENDES</t>
  </si>
  <si>
    <t>alanegerssicaandrade@gmail.com</t>
  </si>
  <si>
    <t>ALANE GERSSICA DE ANDRADE DO NASCIMENTO</t>
  </si>
  <si>
    <t>maira.fabiani@itamaraty.gov.br</t>
  </si>
  <si>
    <t>MAÍRA FABIOLA FABIANI</t>
  </si>
  <si>
    <t>alves.brenda65@gmail.com</t>
  </si>
  <si>
    <t>BRENDA ALVES DA SILVA</t>
  </si>
  <si>
    <t>RUDINEI CORDEIRO</t>
  </si>
  <si>
    <t>nadiaweber12@yahoo.com.br</t>
  </si>
  <si>
    <t>NADIA FERNANDA WEBER</t>
  </si>
  <si>
    <t>danferrareis@hotmail.com</t>
  </si>
  <si>
    <t>DANILO ANDERSON FERRAREIS</t>
  </si>
  <si>
    <t>tstrhgt@gmail.com</t>
  </si>
  <si>
    <t>GUSTAVO DAVID LOPES</t>
  </si>
  <si>
    <t>tifanyazuma@outlook.com</t>
  </si>
  <si>
    <t>TIFANY AZUMA TROMBINO XANDÚ</t>
  </si>
  <si>
    <t>Nicolicamilo@hotmail.com</t>
  </si>
  <si>
    <t>NICOLI CAMPOS CAMILO</t>
  </si>
  <si>
    <t>juliana.nunes2010@hotmail.com</t>
  </si>
  <si>
    <t>JULIANA NUNES DE MENDONÇA</t>
  </si>
  <si>
    <t>laurabvieiras@gmail.com</t>
  </si>
  <si>
    <t>LAURA BEATRIZ VIEIRA SANTOS</t>
  </si>
  <si>
    <t>DIEGO MENDANHA DA SILVA MAIA</t>
  </si>
  <si>
    <t>lauroramos@outlook.com</t>
  </si>
  <si>
    <t>LAURO SILVA RAMOS</t>
  </si>
  <si>
    <t>GILMAR BARBOSA DE SOUZA</t>
  </si>
  <si>
    <t>marinacoutor@gmail.com</t>
  </si>
  <si>
    <t>MARINA RODRIGUES COUTO</t>
  </si>
  <si>
    <t>robertocanallijr@gmail.com</t>
  </si>
  <si>
    <t>ROBERTO CANALLI JUNIOR</t>
  </si>
  <si>
    <t>thaylaeugeniob@gmail.com</t>
  </si>
  <si>
    <t>THAYLA CHRISTINE EUGENIO BENTO</t>
  </si>
  <si>
    <t>emillylaise@outlook.com</t>
  </si>
  <si>
    <t>EMILLY LAÍSE PARDO XAVIER</t>
  </si>
  <si>
    <t xml:space="preserve">cabralbruma@gmail.com </t>
  </si>
  <si>
    <t>BRUNA MARIA DE ALMEIDA CABRAL</t>
  </si>
  <si>
    <t>IVANI BATISTA DE FREITAS MONTEIRO</t>
  </si>
  <si>
    <t>Mesários — 1º turno 04/10/2026 · RDS Hall 2 · presença, situação em 30/09/2026 13:42</t>
  </si>
  <si>
    <t>Total de mesários</t>
  </si>
  <si>
    <t>Presentes (SIM)</t>
  </si>
  <si>
    <t>Ausentes (NAO)</t>
  </si>
  <si>
    <t>Marcados "0006/2026"</t>
  </si>
  <si>
    <t>Sem registro ("-")</t>
  </si>
  <si>
    <t>Não presentes (NAO + 0006/2026 + "-")</t>
  </si>
  <si>
    <t>Conferência: soma das 4 categorias = total</t>
  </si>
  <si>
    <t>Seções (mesas)</t>
  </si>
  <si>
    <t>Mesas com os 4 presentes</t>
  </si>
  <si>
    <t>Mesas com só 3 presentes</t>
  </si>
  <si>
    <t>Mesas com 2 ou menos presentes</t>
  </si>
  <si>
    <t>Mesas com só 3 designados</t>
  </si>
  <si>
    <t>Mesas sem Presidente designado</t>
  </si>
  <si>
    <t>Nota</t>
  </si>
  <si>
    <t>A coluna "Situação" (Confirmado / Sem resposta / Pedido de dispensa) do relatório Elo/Convoca+ de 30/09 foi substituída na aba Mesarios pela coluna "Presença" (SIM / NAO / 0006/2026 / -). As contagens acima e na aba "Por secao" passaram a ler essa coluna. Totais do PDF original: Total 111 · Confirmados 98 · Sem resposta 12 · Pedido de dispensa 1.</t>
  </si>
  <si>
    <t>Comparecimento — BUs de 04/10/2026</t>
  </si>
  <si>
    <t>Comparecimento efetivo (28 BUs)</t>
  </si>
  <si>
    <t>Comparecimento esperado (base B)</t>
  </si>
  <si>
    <t>Efetivo / esperado</t>
  </si>
  <si>
    <t>Taxa de comparecimento (efetivo / aptos no BU)</t>
  </si>
  <si>
    <t>Urna mais movimentada (seção)</t>
  </si>
  <si>
    <t>Pres.</t>
  </si>
  <si>
    <t>Presentes</t>
  </si>
  <si>
    <t>Ausentes</t>
  </si>
  <si>
    <t>Outros</t>
  </si>
  <si>
    <t>Alerta</t>
  </si>
  <si>
    <t>Eleitores esperados</t>
  </si>
  <si>
    <t>Faixa</t>
  </si>
  <si>
    <t>Total</t>
  </si>
  <si>
    <t>Leitura: nomes e presença vêm da aba Mesarios (coluna Presença). SIM = presente (verde) · NAO = ausente (vermelho) · 0006/2026 (amarelo) · "-" = sem registro (cinza) · VAGO = função sem mesário designado. Editar só a aba Mesarios; esta aba recalcula sozinha.</t>
  </si>
  <si>
    <t>Designados</t>
  </si>
  <si>
    <t>Outros (0006/2026 ou -)</t>
  </si>
  <si>
    <t>Função vaga</t>
  </si>
  <si>
    <t>Seção agregada</t>
  </si>
  <si>
    <t>Aptos na urna</t>
  </si>
  <si>
    <t>Aptos (BU)</t>
  </si>
  <si>
    <t>Comparecimento efetivo (BU)</t>
  </si>
  <si>
    <t>Faltosos (BU)</t>
  </si>
  <si>
    <t>Taxa de comparecimento</t>
  </si>
  <si>
    <t>Efetivo − esperado</t>
  </si>
  <si>
    <t>Desvio vs esperado</t>
  </si>
  <si>
    <t>Posição (efetivo)</t>
  </si>
  <si>
    <t>Faixa efetiva</t>
  </si>
  <si>
    <t>Fonte: Justiça Eleitoral, Elo/Convoca+ — "Relatório de Mesários por Situação", Zona 001/ZZ, Local 1015 RDS Hall 2, emitido 30/09/2026 13:42. Colunas G–I lidas da coluna "Presença" da aba Mesarios (SIM / NAO / 0006/2026 / -); linhas NAO, 0006/2026 e "-" destacadas naquela aba.</t>
  </si>
  <si>
    <t>Eleitores esperados: comparecimento esperado por urna (seção principal + agregada), já descontada a abstenção — base B do projeto (taxa de 2022 do condado de origem de cada seção), total 11.499 sobre 16.794 aptos. Fonte: repositório hamadmkalaf/dublineleicoesfinal, data/decisoes.json ("mesas"), de saidas/dados.json (CSVs oficiais do TSE). Premissa não oficial: não é previsão do TSE.</t>
  </si>
  <si>
    <t>Faixa: regra de classes do projeto (decisoes.json → "classes"): as 3 maiores urnas = Alto (vermelho); esperado ≥ 450 = Médio (amarelo); abaixo = Baixo (verde). Limiares editáveis em N34:N35.</t>
  </si>
  <si>
    <t>Limiar "Alto" (3ª maior urna)</t>
  </si>
  <si>
    <t>Limiar "Alto" (3ª maior urna, efetivo)</t>
  </si>
  <si>
    <t>Limiar "Médio"</t>
  </si>
  <si>
    <t>Limiar "Médio" (450 × efetivo/esperado)</t>
  </si>
  <si>
    <t>Colunas P–W: Boletins de Urna (BU) do 1º turno, 04/10/2026, Zona 001 · Local 1015 RDS Hall 2 — 28 BUs, um por urna, conferidos pela seção agregada impressa no BU. Transcritos das fotos (P e Q em azul); R = P − Q confere com o "Eleitores faltosos" impresso em todos os 28; em 3305 o comparecimento foi confirmado pela soma de votos (261 nominais + 3 brancos + 1 nulo = 265).</t>
  </si>
  <si>
    <t>Aptos (BU) é menor que "Aptos na urna" (col. M) em 24 das 28 urnas, igual nas outras 4 (−74 no total: 16.720 vs 16.794) — o BU é o dado do dia; M vem dos CSVs do TSE. Faixa efetiva: mesma regra da col. O, aplicada ao comparecimento efetivo; o limiar "Médio" é a regra de 450 reescalada pela razão efetivo/esperado (premissa, editável em W35).</t>
  </si>
  <si>
    <t>Pos.</t>
  </si>
  <si>
    <t>Esperado</t>
  </si>
  <si>
    <t>Efetivo</t>
  </si>
  <si>
    <t>Taxa</t>
  </si>
  <si>
    <t>Desvio</t>
  </si>
  <si>
    <t>Ordenado por comparecimento efetivo (BUs de 04/10/2026), da urna mais movimentada para a menos. Empates desfeitos pela ordem das seções. Alimentado por 'Por secao'!V.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</si>
</sst>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\+#,##0;\-#,##0;0"/>
    <numFmt numFmtId="166" formatCode="0.0%"/>
    <numFmt numFmtId="167" formatCode="\+0%;\-0%;0%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2"/>
      <name val="Arial"/>
    </font>
    <font>
      <u/>
      <sz val="11"/>
      <color theme="10"/>
      <name val="Calibri"/>
      <family val="2"/>
      <scheme val="minor"/>
    </font>
    <font>
      <sz val="9"/>
      <color rgb="FF0000FF"/>
      <name val="Arial"/>
    </font>
    <font>
      <sz val="9"/>
      <name val="Arial"/>
    </font>
    <font>
      <i/>
      <sz val="9"/>
      <name val="Arial"/>
    </font>
    <font>
      <sz val="11"/>
      <color rgb="FF0000FF"/>
      <name val="Arial"/>
    </font>
    <font>
      <b/>
      <sz val="11"/>
      <color rgb="FFFFFFFF"/>
      <name val="Calibri"/>
    </font>
    <font>
      <sz val="9"/>
      <color rgb="FF808080"/>
      <name val="Calibri"/>
    </font>
    <font>
      <i/>
      <sz val="11"/>
      <name val="Calibri"/>
    </font>
    <font>
      <b/>
      <sz val="11"/>
      <name val="Calibri"/>
    </font>
    <font>
      <u/>
      <sz val="1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4" fillId="0" borderId="0" xfId="0" applyFont="1"/>
    <xf numFmtId="0" fontId="2" fillId="0" borderId="0" xfId="0" applyFont="1"/>
    <xf numFmtId="3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0" xfId="0" applyFont="1"/>
    <xf numFmtId="0" fontId="10" fillId="2" borderId="0" xfId="0" applyFont="1" applyFill="1"/>
    <xf numFmtId="0" fontId="11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13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14" fillId="0" borderId="0" xfId="1" applyFont="1"/>
    <xf numFmtId="0" fontId="15" fillId="0" borderId="0" xfId="0" applyFont="1"/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4">
    <dxf>
      <fill>
        <patternFill>
          <bgColor rgb="FF70AD47"/>
        </patternFill>
      </fill>
    </dxf>
    <dxf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FFD966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ill>
        <patternFill patternType="solid">
          <fgColor rgb="FFFCE4D6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FFFFFF"/>
      </font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wellingtons24.santos@gmail.com" TargetMode="External"/><Relationship Id="rId21" Type="http://schemas.openxmlformats.org/officeDocument/2006/relationships/hyperlink" Target="mailto:nayara.mendes@itamaraty.gov.br" TargetMode="External"/><Relationship Id="rId42" Type="http://schemas.openxmlformats.org/officeDocument/2006/relationships/hyperlink" Target="mailto:talita.montysuma@gmail.com" TargetMode="External"/><Relationship Id="rId47" Type="http://schemas.openxmlformats.org/officeDocument/2006/relationships/hyperlink" Target="mailto:jussara.veneza@hotmail.com" TargetMode="External"/><Relationship Id="rId63" Type="http://schemas.openxmlformats.org/officeDocument/2006/relationships/hyperlink" Target="mailto:ftrindade3411@gmail.com" TargetMode="External"/><Relationship Id="rId68" Type="http://schemas.openxmlformats.org/officeDocument/2006/relationships/hyperlink" Target="mailto:matheuslw@gmail.com" TargetMode="External"/><Relationship Id="rId84" Type="http://schemas.openxmlformats.org/officeDocument/2006/relationships/hyperlink" Target="mailto:alaf.ribeiro.965@gmail.com" TargetMode="External"/><Relationship Id="rId89" Type="http://schemas.openxmlformats.org/officeDocument/2006/relationships/hyperlink" Target="mailto:nadiaweber12@yahoo.com.br" TargetMode="External"/><Relationship Id="rId16" Type="http://schemas.openxmlformats.org/officeDocument/2006/relationships/hyperlink" Target="mailto:tucanamariana@gmail.com" TargetMode="External"/><Relationship Id="rId11" Type="http://schemas.openxmlformats.org/officeDocument/2006/relationships/hyperlink" Target="mailto:isabelabattisti@gmail.com" TargetMode="External"/><Relationship Id="rId32" Type="http://schemas.openxmlformats.org/officeDocument/2006/relationships/hyperlink" Target="mailto:passos.matheus@gmail.com" TargetMode="External"/><Relationship Id="rId37" Type="http://schemas.openxmlformats.org/officeDocument/2006/relationships/hyperlink" Target="mailto:beatrizgilli@hotmail.com" TargetMode="External"/><Relationship Id="rId53" Type="http://schemas.openxmlformats.org/officeDocument/2006/relationships/hyperlink" Target="mailto:ediones.savaris@gmail.com" TargetMode="External"/><Relationship Id="rId58" Type="http://schemas.openxmlformats.org/officeDocument/2006/relationships/hyperlink" Target="mailto:malumorgante@gmail.com" TargetMode="External"/><Relationship Id="rId74" Type="http://schemas.openxmlformats.org/officeDocument/2006/relationships/hyperlink" Target="mailto:paulacipro@gmail.com" TargetMode="External"/><Relationship Id="rId79" Type="http://schemas.openxmlformats.org/officeDocument/2006/relationships/hyperlink" Target="mailto:vanessa.barbosa@itamaraty.gov.br" TargetMode="External"/><Relationship Id="rId5" Type="http://schemas.openxmlformats.org/officeDocument/2006/relationships/hyperlink" Target="mailto:anaclaudiamazurok@gmail.com" TargetMode="External"/><Relationship Id="rId90" Type="http://schemas.openxmlformats.org/officeDocument/2006/relationships/hyperlink" Target="mailto:danferrareis@hotmail.com" TargetMode="External"/><Relationship Id="rId95" Type="http://schemas.openxmlformats.org/officeDocument/2006/relationships/hyperlink" Target="mailto:laurabvieiras@gmail.com" TargetMode="External"/><Relationship Id="rId22" Type="http://schemas.openxmlformats.org/officeDocument/2006/relationships/hyperlink" Target="mailto:jessicaoliveira9316@gmail.com" TargetMode="External"/><Relationship Id="rId27" Type="http://schemas.openxmlformats.org/officeDocument/2006/relationships/hyperlink" Target="mailto:almeidaedi@gmail.com" TargetMode="External"/><Relationship Id="rId43" Type="http://schemas.openxmlformats.org/officeDocument/2006/relationships/hyperlink" Target="mailto:nvlousada@gmail.com" TargetMode="External"/><Relationship Id="rId48" Type="http://schemas.openxmlformats.org/officeDocument/2006/relationships/hyperlink" Target="mailto:perontayna@gmail.com" TargetMode="External"/><Relationship Id="rId64" Type="http://schemas.openxmlformats.org/officeDocument/2006/relationships/hyperlink" Target="mailto:fagneralmeidamorais@gmail.com" TargetMode="External"/><Relationship Id="rId69" Type="http://schemas.openxmlformats.org/officeDocument/2006/relationships/hyperlink" Target="mailto:kaique.aquino.oliveira@esb.ie" TargetMode="External"/><Relationship Id="rId80" Type="http://schemas.openxmlformats.org/officeDocument/2006/relationships/hyperlink" Target="mailto:leilarosaria@yahoo.com.br" TargetMode="External"/><Relationship Id="rId85" Type="http://schemas.openxmlformats.org/officeDocument/2006/relationships/hyperlink" Target="mailto:jmendes_mendes@live.com" TargetMode="External"/><Relationship Id="rId12" Type="http://schemas.openxmlformats.org/officeDocument/2006/relationships/hyperlink" Target="mailto:aline.barros@outlook.com" TargetMode="External"/><Relationship Id="rId17" Type="http://schemas.openxmlformats.org/officeDocument/2006/relationships/hyperlink" Target="mailto:pamela.silva@itamaraty.gov.br" TargetMode="External"/><Relationship Id="rId25" Type="http://schemas.openxmlformats.org/officeDocument/2006/relationships/hyperlink" Target="mailto:fabiola.malta@itamaraty.gov.br" TargetMode="External"/><Relationship Id="rId33" Type="http://schemas.openxmlformats.org/officeDocument/2006/relationships/hyperlink" Target="mailto:fernanda@brazilirelandchamber.com" TargetMode="External"/><Relationship Id="rId38" Type="http://schemas.openxmlformats.org/officeDocument/2006/relationships/hyperlink" Target="mailto:anabellacastroie@gmail.com" TargetMode="External"/><Relationship Id="rId46" Type="http://schemas.openxmlformats.org/officeDocument/2006/relationships/hyperlink" Target="mailto:andersonsilverio14@gmail.com" TargetMode="External"/><Relationship Id="rId59" Type="http://schemas.openxmlformats.org/officeDocument/2006/relationships/hyperlink" Target="mailto:s.caetanoregina1979@gmail.com" TargetMode="External"/><Relationship Id="rId67" Type="http://schemas.openxmlformats.org/officeDocument/2006/relationships/hyperlink" Target="mailto:maiik5463@hotmail.com" TargetMode="External"/><Relationship Id="rId20" Type="http://schemas.openxmlformats.org/officeDocument/2006/relationships/hyperlink" Target="mailto:cintiadosantos4@gmail.com" TargetMode="External"/><Relationship Id="rId41" Type="http://schemas.openxmlformats.org/officeDocument/2006/relationships/hyperlink" Target="mailto:Marcelatkondo@gmail.com" TargetMode="External"/><Relationship Id="rId54" Type="http://schemas.openxmlformats.org/officeDocument/2006/relationships/hyperlink" Target="mailto:sousa.franciscaa@gmail.com" TargetMode="External"/><Relationship Id="rId62" Type="http://schemas.openxmlformats.org/officeDocument/2006/relationships/hyperlink" Target="mailto:353helenafranmalves@gmail.com" TargetMode="External"/><Relationship Id="rId70" Type="http://schemas.openxmlformats.org/officeDocument/2006/relationships/hyperlink" Target="mailto:krla.dublin16@gmail.com" TargetMode="External"/><Relationship Id="rId75" Type="http://schemas.openxmlformats.org/officeDocument/2006/relationships/hyperlink" Target="mailto:luamdmoreira@gmail.com" TargetMode="External"/><Relationship Id="rId83" Type="http://schemas.openxmlformats.org/officeDocument/2006/relationships/hyperlink" Target="mailto:jair.correia@itamaraty.gov.br" TargetMode="External"/><Relationship Id="rId88" Type="http://schemas.openxmlformats.org/officeDocument/2006/relationships/hyperlink" Target="mailto:alves.brenda65@gmail.com" TargetMode="External"/><Relationship Id="rId91" Type="http://schemas.openxmlformats.org/officeDocument/2006/relationships/hyperlink" Target="mailto:tstrhgt@gmail.com" TargetMode="External"/><Relationship Id="rId96" Type="http://schemas.openxmlformats.org/officeDocument/2006/relationships/hyperlink" Target="mailto:lauroramos@outlook.com" TargetMode="External"/><Relationship Id="rId1" Type="http://schemas.openxmlformats.org/officeDocument/2006/relationships/hyperlink" Target="mailto:Felipegustavo.ie@outlook.com" TargetMode="External"/><Relationship Id="rId6" Type="http://schemas.openxmlformats.org/officeDocument/2006/relationships/hyperlink" Target="mailto:caiorossiter@gmail.com" TargetMode="External"/><Relationship Id="rId15" Type="http://schemas.openxmlformats.org/officeDocument/2006/relationships/hyperlink" Target="mailto:rafaelrodrigues2011@gmail.com" TargetMode="External"/><Relationship Id="rId23" Type="http://schemas.openxmlformats.org/officeDocument/2006/relationships/hyperlink" Target="mailto:ana.spelias@gmail.com" TargetMode="External"/><Relationship Id="rId28" Type="http://schemas.openxmlformats.org/officeDocument/2006/relationships/hyperlink" Target="mailto:gabrielsoares2111@gmail.com" TargetMode="External"/><Relationship Id="rId36" Type="http://schemas.openxmlformats.org/officeDocument/2006/relationships/hyperlink" Target="mailto:dulliusdaniela@gmail.com" TargetMode="External"/><Relationship Id="rId49" Type="http://schemas.openxmlformats.org/officeDocument/2006/relationships/hyperlink" Target="mailto:julianacampos21@hotmail.com" TargetMode="External"/><Relationship Id="rId57" Type="http://schemas.openxmlformats.org/officeDocument/2006/relationships/hyperlink" Target="mailto:marianagasparetti@gmail.com" TargetMode="External"/><Relationship Id="rId10" Type="http://schemas.openxmlformats.org/officeDocument/2006/relationships/hyperlink" Target="mailto:Luizsmania1@gmail.com" TargetMode="External"/><Relationship Id="rId31" Type="http://schemas.openxmlformats.org/officeDocument/2006/relationships/hyperlink" Target="mailto:danielalmelo@gmail.com" TargetMode="External"/><Relationship Id="rId44" Type="http://schemas.openxmlformats.org/officeDocument/2006/relationships/hyperlink" Target="mailto:anthonyedasilvagapito@gmail.com" TargetMode="External"/><Relationship Id="rId52" Type="http://schemas.openxmlformats.org/officeDocument/2006/relationships/hyperlink" Target="mailto:iglesias_diogo@hotmail.com" TargetMode="External"/><Relationship Id="rId60" Type="http://schemas.openxmlformats.org/officeDocument/2006/relationships/hyperlink" Target="mailto:renan.williandc@gmail.com" TargetMode="External"/><Relationship Id="rId65" Type="http://schemas.openxmlformats.org/officeDocument/2006/relationships/hyperlink" Target="mailto:julianawongm@gmail.com" TargetMode="External"/><Relationship Id="rId73" Type="http://schemas.openxmlformats.org/officeDocument/2006/relationships/hyperlink" Target="mailto:rogergoes@hotmail.com" TargetMode="External"/><Relationship Id="rId78" Type="http://schemas.openxmlformats.org/officeDocument/2006/relationships/hyperlink" Target="mailto:thaisterencio@hotmail.com" TargetMode="External"/><Relationship Id="rId81" Type="http://schemas.openxmlformats.org/officeDocument/2006/relationships/hyperlink" Target="mailto:danielpessoa.cardeal@gmail.com" TargetMode="External"/><Relationship Id="rId86" Type="http://schemas.openxmlformats.org/officeDocument/2006/relationships/hyperlink" Target="mailto:alanegerssicaandrade@gmail.com" TargetMode="External"/><Relationship Id="rId94" Type="http://schemas.openxmlformats.org/officeDocument/2006/relationships/hyperlink" Target="mailto:juliana.nunes2010@hotmail.com" TargetMode="External"/><Relationship Id="rId99" Type="http://schemas.openxmlformats.org/officeDocument/2006/relationships/hyperlink" Target="mailto:thaylaeugeniob@gmail.com" TargetMode="External"/><Relationship Id="rId101" Type="http://schemas.openxmlformats.org/officeDocument/2006/relationships/hyperlink" Target="mailto:cabralbruma@gmail.com" TargetMode="External"/><Relationship Id="rId4" Type="http://schemas.openxmlformats.org/officeDocument/2006/relationships/hyperlink" Target="mailto:beabertocco@gmail.com" TargetMode="External"/><Relationship Id="rId9" Type="http://schemas.openxmlformats.org/officeDocument/2006/relationships/hyperlink" Target="mailto:bianca.goulart@itamaraty.gov.br" TargetMode="External"/><Relationship Id="rId13" Type="http://schemas.openxmlformats.org/officeDocument/2006/relationships/hyperlink" Target="mailto:DAIANELEALG@GMAIL.COM" TargetMode="External"/><Relationship Id="rId18" Type="http://schemas.openxmlformats.org/officeDocument/2006/relationships/hyperlink" Target="mailto:arthurgf96@gmail.com" TargetMode="External"/><Relationship Id="rId39" Type="http://schemas.openxmlformats.org/officeDocument/2006/relationships/hyperlink" Target="mailto:juli_tico@hotmail.com" TargetMode="External"/><Relationship Id="rId34" Type="http://schemas.openxmlformats.org/officeDocument/2006/relationships/hyperlink" Target="mailto:daniel20022304@gmail.com" TargetMode="External"/><Relationship Id="rId50" Type="http://schemas.openxmlformats.org/officeDocument/2006/relationships/hyperlink" Target="mailto:lilianebr.dublin@gmail.com" TargetMode="External"/><Relationship Id="rId55" Type="http://schemas.openxmlformats.org/officeDocument/2006/relationships/hyperlink" Target="mailto:auroramomolina@icloud.com" TargetMode="External"/><Relationship Id="rId76" Type="http://schemas.openxmlformats.org/officeDocument/2006/relationships/hyperlink" Target="mailto:saradias1@gmail.com" TargetMode="External"/><Relationship Id="rId97" Type="http://schemas.openxmlformats.org/officeDocument/2006/relationships/hyperlink" Target="mailto:marinacoutor@gmail.com" TargetMode="External"/><Relationship Id="rId7" Type="http://schemas.openxmlformats.org/officeDocument/2006/relationships/hyperlink" Target="mailto:camilamouramartins1987@gmail.com" TargetMode="External"/><Relationship Id="rId71" Type="http://schemas.openxmlformats.org/officeDocument/2006/relationships/hyperlink" Target="mailto:louiseandrielleprandi@gmail.com" TargetMode="External"/><Relationship Id="rId92" Type="http://schemas.openxmlformats.org/officeDocument/2006/relationships/hyperlink" Target="mailto:tifanyazuma@outlook.com" TargetMode="External"/><Relationship Id="rId2" Type="http://schemas.openxmlformats.org/officeDocument/2006/relationships/hyperlink" Target="mailto:Ericcount19@hotmail.com" TargetMode="External"/><Relationship Id="rId29" Type="http://schemas.openxmlformats.org/officeDocument/2006/relationships/hyperlink" Target="mailto:tulio.neves@itamaraty.gov.br" TargetMode="External"/><Relationship Id="rId24" Type="http://schemas.openxmlformats.org/officeDocument/2006/relationships/hyperlink" Target="mailto:dener.asm@gmail.com" TargetMode="External"/><Relationship Id="rId40" Type="http://schemas.openxmlformats.org/officeDocument/2006/relationships/hyperlink" Target="mailto:lincolnguedesc@gmail.com" TargetMode="External"/><Relationship Id="rId45" Type="http://schemas.openxmlformats.org/officeDocument/2006/relationships/hyperlink" Target="mailto:rochae@tcd.ie" TargetMode="External"/><Relationship Id="rId66" Type="http://schemas.openxmlformats.org/officeDocument/2006/relationships/hyperlink" Target="mailto:luisamontecarmelo@gmail.com" TargetMode="External"/><Relationship Id="rId87" Type="http://schemas.openxmlformats.org/officeDocument/2006/relationships/hyperlink" Target="mailto:maira.fabiani@itamaraty.gov.br" TargetMode="External"/><Relationship Id="rId61" Type="http://schemas.openxmlformats.org/officeDocument/2006/relationships/hyperlink" Target="mailto:Tiagocare@icloud.com" TargetMode="External"/><Relationship Id="rId82" Type="http://schemas.openxmlformats.org/officeDocument/2006/relationships/hyperlink" Target="mailto:sandro.cunha2008@gmail.com" TargetMode="External"/><Relationship Id="rId19" Type="http://schemas.openxmlformats.org/officeDocument/2006/relationships/hyperlink" Target="mailto:crislainedealmeida@hotmail.com" TargetMode="External"/><Relationship Id="rId14" Type="http://schemas.openxmlformats.org/officeDocument/2006/relationships/hyperlink" Target="mailto:cinthia_ralmeida2@hotmail.com" TargetMode="External"/><Relationship Id="rId30" Type="http://schemas.openxmlformats.org/officeDocument/2006/relationships/hyperlink" Target="mailto:tfregnani@outlook.com" TargetMode="External"/><Relationship Id="rId35" Type="http://schemas.openxmlformats.org/officeDocument/2006/relationships/hyperlink" Target="mailto:ingridmach@hotmail.com" TargetMode="External"/><Relationship Id="rId56" Type="http://schemas.openxmlformats.org/officeDocument/2006/relationships/hyperlink" Target="mailto:lcaprezzi@gmail.com" TargetMode="External"/><Relationship Id="rId77" Type="http://schemas.openxmlformats.org/officeDocument/2006/relationships/hyperlink" Target="mailto:ednaldo283@gmail.com" TargetMode="External"/><Relationship Id="rId100" Type="http://schemas.openxmlformats.org/officeDocument/2006/relationships/hyperlink" Target="mailto:emillylaise@outlook.com" TargetMode="External"/><Relationship Id="rId8" Type="http://schemas.openxmlformats.org/officeDocument/2006/relationships/hyperlink" Target="mailto:tbbfelix@gmail.com" TargetMode="External"/><Relationship Id="rId51" Type="http://schemas.openxmlformats.org/officeDocument/2006/relationships/hyperlink" Target="mailto:jack_610aparecida@hormail.com" TargetMode="External"/><Relationship Id="rId72" Type="http://schemas.openxmlformats.org/officeDocument/2006/relationships/hyperlink" Target="mailto:paulalimao88@hotmail.com" TargetMode="External"/><Relationship Id="rId93" Type="http://schemas.openxmlformats.org/officeDocument/2006/relationships/hyperlink" Target="mailto:Nicolicamilo@hotmail.com" TargetMode="External"/><Relationship Id="rId98" Type="http://schemas.openxmlformats.org/officeDocument/2006/relationships/hyperlink" Target="mailto:robertocanallijr@gmail.com" TargetMode="External"/><Relationship Id="rId3" Type="http://schemas.openxmlformats.org/officeDocument/2006/relationships/hyperlink" Target="mailto:ludmilamaiamac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5" x14ac:dyDescent="0.25"/>
  <cols>
    <col min="1" max="1" width="50" customWidth="1"/>
    <col min="2" max="2" width="70" customWidth="1"/>
  </cols>
  <sheetData>
    <row r="1" spans="1:2" ht="15.75" customHeight="1" x14ac:dyDescent="0.25">
      <c r="A1" s="1" t="s">
        <v>229</v>
      </c>
    </row>
    <row r="3" spans="1:2" x14ac:dyDescent="0.25">
      <c r="A3" s="2" t="s">
        <v>230</v>
      </c>
      <c r="B3" s="18">
        <f>COUNTA(Mesarios!D2:D112)</f>
        <v>111</v>
      </c>
    </row>
    <row r="4" spans="1:2" x14ac:dyDescent="0.25">
      <c r="A4" s="2" t="s">
        <v>231</v>
      </c>
      <c r="B4" s="18">
        <f>COUNTIF(Mesarios!$E$2:$E$112,"SIM")</f>
        <v>82</v>
      </c>
    </row>
    <row r="5" spans="1:2" x14ac:dyDescent="0.25">
      <c r="A5" s="2" t="s">
        <v>232</v>
      </c>
      <c r="B5" s="18">
        <f>COUNTIF(Mesarios!$E$2:$E$112,"NAO")</f>
        <v>13</v>
      </c>
    </row>
    <row r="6" spans="1:2" x14ac:dyDescent="0.25">
      <c r="A6" s="2" t="s">
        <v>233</v>
      </c>
      <c r="B6" s="18">
        <f>COUNTIF(Mesarios!$E$2:$E$112,"0006/2026")</f>
        <v>13</v>
      </c>
    </row>
    <row r="7" spans="1:2" x14ac:dyDescent="0.25">
      <c r="A7" s="2" t="s">
        <v>234</v>
      </c>
      <c r="B7" s="18">
        <f>COUNTIF(Mesarios!$E$2:$E$112,"-")</f>
        <v>3</v>
      </c>
    </row>
    <row r="8" spans="1:2" x14ac:dyDescent="0.25">
      <c r="A8" s="2" t="s">
        <v>235</v>
      </c>
      <c r="B8" s="18">
        <f>B5+B6+B7</f>
        <v>29</v>
      </c>
    </row>
    <row r="9" spans="1:2" x14ac:dyDescent="0.25">
      <c r="A9" s="2" t="s">
        <v>236</v>
      </c>
      <c r="B9" s="19" t="str">
        <f>IF(B4+B5+B6+B7=B3,"OK","DIVERGE")</f>
        <v>OK</v>
      </c>
    </row>
    <row r="10" spans="1:2" x14ac:dyDescent="0.25">
      <c r="A10" s="2" t="s">
        <v>237</v>
      </c>
      <c r="B10" s="18">
        <f>COUNTA('Por secao'!A2:A29)</f>
        <v>28</v>
      </c>
    </row>
    <row r="11" spans="1:2" x14ac:dyDescent="0.25">
      <c r="A11" s="2" t="s">
        <v>238</v>
      </c>
      <c r="B11" s="18">
        <f>COUNTIF('Por secao'!G2:G29,4)</f>
        <v>15</v>
      </c>
    </row>
    <row r="12" spans="1:2" x14ac:dyDescent="0.25">
      <c r="A12" t="s">
        <v>239</v>
      </c>
      <c r="B12" s="20">
        <f>COUNTIF('Por secao'!G2:G29,3)</f>
        <v>4</v>
      </c>
    </row>
    <row r="13" spans="1:2" x14ac:dyDescent="0.25">
      <c r="A13" t="s">
        <v>240</v>
      </c>
      <c r="B13" s="20">
        <f>COUNTIF('Por secao'!G2:G29,"&lt;=2")</f>
        <v>9</v>
      </c>
    </row>
    <row r="14" spans="1:2" x14ac:dyDescent="0.25">
      <c r="A14" t="s">
        <v>241</v>
      </c>
      <c r="B14" s="20">
        <f>COUNTIF('Por secao'!B2:B29,3)</f>
        <v>1</v>
      </c>
    </row>
    <row r="15" spans="1:2" x14ac:dyDescent="0.25">
      <c r="A15" t="s">
        <v>242</v>
      </c>
      <c r="B15" s="20">
        <f>'Por secao'!C30</f>
        <v>0</v>
      </c>
    </row>
    <row r="16" spans="1:2" ht="75" customHeight="1" x14ac:dyDescent="0.25">
      <c r="A16" s="21" t="s">
        <v>243</v>
      </c>
      <c r="B16" s="20" t="s">
        <v>244</v>
      </c>
    </row>
    <row r="18" spans="1:2" x14ac:dyDescent="0.25">
      <c r="A18" s="31" t="s">
        <v>245</v>
      </c>
    </row>
    <row r="19" spans="1:2" x14ac:dyDescent="0.25">
      <c r="A19" t="s">
        <v>246</v>
      </c>
      <c r="B19" s="32">
        <f>'Por secao'!Q30</f>
        <v>8417</v>
      </c>
    </row>
    <row r="20" spans="1:2" x14ac:dyDescent="0.25">
      <c r="A20" t="s">
        <v>247</v>
      </c>
      <c r="B20" s="32">
        <f>'Por secao'!N30</f>
        <v>11499</v>
      </c>
    </row>
    <row r="21" spans="1:2" x14ac:dyDescent="0.25">
      <c r="A21" t="s">
        <v>248</v>
      </c>
      <c r="B21" s="33">
        <f>'Por secao'!Q30/'Por secao'!N30</f>
        <v>0.73197669362553264</v>
      </c>
    </row>
    <row r="22" spans="1:2" x14ac:dyDescent="0.25">
      <c r="A22" t="s">
        <v>249</v>
      </c>
      <c r="B22" s="33">
        <f>'Por secao'!S30</f>
        <v>0.50340909090909092</v>
      </c>
    </row>
    <row r="23" spans="1:2" x14ac:dyDescent="0.25">
      <c r="A23" t="s">
        <v>250</v>
      </c>
      <c r="B23" s="34">
        <f>INDEX('Por secao'!A2:A29,MATCH(1,'Por secao'!V2:V29,0))</f>
        <v>3315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workbookViewId="0">
      <pane ySplit="1" topLeftCell="A48" activePane="bottomLeft" state="frozen"/>
      <selection activeCell="C1" sqref="C1"/>
      <selection pane="bottomLeft" activeCell="A66" sqref="A66"/>
    </sheetView>
  </sheetViews>
  <sheetFormatPr defaultRowHeight="15" x14ac:dyDescent="0.25"/>
  <cols>
    <col min="1" max="1" width="9" customWidth="1"/>
    <col min="2" max="2" width="15" customWidth="1"/>
    <col min="3" max="3" width="46" customWidth="1"/>
    <col min="4" max="4" width="49.140625" customWidth="1"/>
    <col min="5" max="5" width="19.42578125" customWidth="1"/>
    <col min="6" max="6" width="18" customWidth="1"/>
  </cols>
  <sheetData>
    <row r="1" spans="1: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2" t="s">
        <v>5</v>
      </c>
    </row>
    <row r="2" spans="1:6" x14ac:dyDescent="0.25">
      <c r="A2" s="28">
        <v>511</v>
      </c>
      <c r="B2" s="2" t="s">
        <v>6</v>
      </c>
      <c r="C2" s="30" t="s">
        <v>7</v>
      </c>
      <c r="D2" s="2" t="s">
        <v>8</v>
      </c>
      <c r="E2" s="2" t="s">
        <v>9</v>
      </c>
      <c r="F2" s="23" t="str">
        <f t="shared" ref="F2:F33" si="0">A2&amp;"|"&amp;B2</f>
        <v>511|Presidente</v>
      </c>
    </row>
    <row r="3" spans="1:6" x14ac:dyDescent="0.25">
      <c r="A3" s="28">
        <v>511</v>
      </c>
      <c r="B3" s="2" t="s">
        <v>10</v>
      </c>
      <c r="C3" s="30" t="s">
        <v>11</v>
      </c>
      <c r="D3" s="2" t="s">
        <v>12</v>
      </c>
      <c r="E3" s="2" t="s">
        <v>9</v>
      </c>
      <c r="F3" s="23" t="str">
        <f t="shared" si="0"/>
        <v>511|1º Mesário</v>
      </c>
    </row>
    <row r="4" spans="1:6" x14ac:dyDescent="0.25">
      <c r="A4" s="28">
        <v>511</v>
      </c>
      <c r="B4" s="2" t="s">
        <v>13</v>
      </c>
      <c r="C4" s="30" t="s">
        <v>14</v>
      </c>
      <c r="D4" s="2" t="s">
        <v>15</v>
      </c>
      <c r="E4" s="2" t="s">
        <v>9</v>
      </c>
      <c r="F4" s="23" t="str">
        <f t="shared" si="0"/>
        <v>511|2º Mesário</v>
      </c>
    </row>
    <row r="5" spans="1:6" x14ac:dyDescent="0.25">
      <c r="A5" s="28">
        <v>511</v>
      </c>
      <c r="B5" s="2" t="s">
        <v>16</v>
      </c>
      <c r="C5" s="30" t="s">
        <v>17</v>
      </c>
      <c r="D5" s="2" t="s">
        <v>18</v>
      </c>
      <c r="E5" s="2" t="s">
        <v>9</v>
      </c>
      <c r="F5" s="23" t="str">
        <f t="shared" si="0"/>
        <v>511|1º Secretário</v>
      </c>
    </row>
    <row r="6" spans="1:6" x14ac:dyDescent="0.25">
      <c r="A6" s="28">
        <v>512</v>
      </c>
      <c r="B6" s="2" t="s">
        <v>6</v>
      </c>
      <c r="C6" s="30" t="s">
        <v>19</v>
      </c>
      <c r="D6" s="2" t="s">
        <v>20</v>
      </c>
      <c r="E6" s="2" t="s">
        <v>21</v>
      </c>
      <c r="F6" s="23" t="str">
        <f t="shared" si="0"/>
        <v>512|Presidente</v>
      </c>
    </row>
    <row r="7" spans="1:6" x14ac:dyDescent="0.25">
      <c r="A7" s="28">
        <v>512</v>
      </c>
      <c r="B7" s="2" t="s">
        <v>10</v>
      </c>
      <c r="C7" s="30" t="s">
        <v>22</v>
      </c>
      <c r="D7" s="2" t="s">
        <v>23</v>
      </c>
      <c r="E7" s="2" t="s">
        <v>9</v>
      </c>
      <c r="F7" s="23" t="str">
        <f t="shared" si="0"/>
        <v>512|1º Mesário</v>
      </c>
    </row>
    <row r="8" spans="1:6" x14ac:dyDescent="0.25">
      <c r="A8" s="28">
        <v>512</v>
      </c>
      <c r="B8" s="2" t="s">
        <v>13</v>
      </c>
      <c r="C8" s="30" t="s">
        <v>24</v>
      </c>
      <c r="D8" s="2" t="s">
        <v>25</v>
      </c>
      <c r="E8" s="2" t="s">
        <v>9</v>
      </c>
      <c r="F8" s="23" t="str">
        <f t="shared" si="0"/>
        <v>512|2º Mesário</v>
      </c>
    </row>
    <row r="9" spans="1:6" x14ac:dyDescent="0.25">
      <c r="A9" s="28">
        <v>512</v>
      </c>
      <c r="B9" s="2" t="s">
        <v>16</v>
      </c>
      <c r="C9" s="30" t="s">
        <v>26</v>
      </c>
      <c r="D9" s="2" t="s">
        <v>27</v>
      </c>
      <c r="E9" s="2" t="s">
        <v>9</v>
      </c>
      <c r="F9" s="23" t="str">
        <f t="shared" si="0"/>
        <v>512|1º Secretário</v>
      </c>
    </row>
    <row r="10" spans="1:6" x14ac:dyDescent="0.25">
      <c r="A10" s="28">
        <v>513</v>
      </c>
      <c r="B10" s="2" t="s">
        <v>6</v>
      </c>
      <c r="C10" s="30" t="s">
        <v>28</v>
      </c>
      <c r="D10" s="2" t="s">
        <v>29</v>
      </c>
      <c r="E10" s="2" t="s">
        <v>9</v>
      </c>
      <c r="F10" s="23" t="str">
        <f t="shared" si="0"/>
        <v>513|Presidente</v>
      </c>
    </row>
    <row r="11" spans="1:6" x14ac:dyDescent="0.25">
      <c r="A11" s="28">
        <v>513</v>
      </c>
      <c r="B11" s="2" t="s">
        <v>10</v>
      </c>
      <c r="C11" s="30" t="s">
        <v>30</v>
      </c>
      <c r="D11" s="2" t="s">
        <v>31</v>
      </c>
      <c r="E11" s="2" t="s">
        <v>9</v>
      </c>
      <c r="F11" s="23" t="str">
        <f t="shared" si="0"/>
        <v>513|1º Mesário</v>
      </c>
    </row>
    <row r="12" spans="1:6" x14ac:dyDescent="0.25">
      <c r="A12" s="28">
        <v>513</v>
      </c>
      <c r="B12" s="2" t="s">
        <v>13</v>
      </c>
      <c r="C12" s="30" t="s">
        <v>32</v>
      </c>
      <c r="D12" s="2" t="s">
        <v>33</v>
      </c>
      <c r="E12" s="2" t="s">
        <v>9</v>
      </c>
      <c r="F12" s="23" t="str">
        <f t="shared" si="0"/>
        <v>513|2º Mesário</v>
      </c>
    </row>
    <row r="13" spans="1:6" x14ac:dyDescent="0.25">
      <c r="A13" s="28">
        <v>513</v>
      </c>
      <c r="B13" s="2" t="s">
        <v>16</v>
      </c>
      <c r="C13" s="30" t="s">
        <v>34</v>
      </c>
      <c r="D13" s="2" t="s">
        <v>35</v>
      </c>
      <c r="E13" s="2" t="s">
        <v>21</v>
      </c>
      <c r="F13" s="23" t="str">
        <f t="shared" si="0"/>
        <v>513|1º Secretário</v>
      </c>
    </row>
    <row r="14" spans="1:6" x14ac:dyDescent="0.25">
      <c r="A14" s="28">
        <v>517</v>
      </c>
      <c r="B14" s="2" t="s">
        <v>6</v>
      </c>
      <c r="C14" s="30" t="s">
        <v>36</v>
      </c>
      <c r="D14" s="2" t="s">
        <v>37</v>
      </c>
      <c r="E14" s="2" t="s">
        <v>9</v>
      </c>
      <c r="F14" s="23" t="str">
        <f t="shared" si="0"/>
        <v>517|Presidente</v>
      </c>
    </row>
    <row r="15" spans="1:6" x14ac:dyDescent="0.25">
      <c r="A15" s="28">
        <v>517</v>
      </c>
      <c r="B15" s="2" t="s">
        <v>10</v>
      </c>
      <c r="C15" s="30" t="s">
        <v>38</v>
      </c>
      <c r="D15" s="2" t="s">
        <v>39</v>
      </c>
      <c r="E15" s="2" t="s">
        <v>9</v>
      </c>
      <c r="F15" s="23" t="str">
        <f t="shared" si="0"/>
        <v>517|1º Mesário</v>
      </c>
    </row>
    <row r="16" spans="1:6" x14ac:dyDescent="0.25">
      <c r="A16" s="28">
        <v>517</v>
      </c>
      <c r="B16" s="2" t="s">
        <v>13</v>
      </c>
      <c r="C16" s="30" t="s">
        <v>40</v>
      </c>
      <c r="D16" s="2" t="s">
        <v>41</v>
      </c>
      <c r="E16" s="2" t="s">
        <v>9</v>
      </c>
      <c r="F16" s="23" t="str">
        <f t="shared" si="0"/>
        <v>517|2º Mesário</v>
      </c>
    </row>
    <row r="17" spans="1:6" x14ac:dyDescent="0.25">
      <c r="A17" s="28">
        <v>517</v>
      </c>
      <c r="B17" s="2" t="s">
        <v>16</v>
      </c>
      <c r="C17" s="30" t="s">
        <v>42</v>
      </c>
      <c r="D17" s="2" t="s">
        <v>43</v>
      </c>
      <c r="E17" s="2" t="s">
        <v>9</v>
      </c>
      <c r="F17" s="23" t="str">
        <f t="shared" si="0"/>
        <v>517|1º Secretário</v>
      </c>
    </row>
    <row r="18" spans="1:6" x14ac:dyDescent="0.25">
      <c r="A18" s="28">
        <v>1160</v>
      </c>
      <c r="B18" s="2" t="s">
        <v>6</v>
      </c>
      <c r="C18" s="30" t="s">
        <v>44</v>
      </c>
      <c r="D18" s="2" t="s">
        <v>45</v>
      </c>
      <c r="E18" s="2" t="s">
        <v>46</v>
      </c>
      <c r="F18" s="23" t="str">
        <f t="shared" si="0"/>
        <v>1160|Presidente</v>
      </c>
    </row>
    <row r="19" spans="1:6" x14ac:dyDescent="0.25">
      <c r="A19" s="28">
        <v>1160</v>
      </c>
      <c r="B19" s="2" t="s">
        <v>10</v>
      </c>
      <c r="C19" s="30" t="s">
        <v>47</v>
      </c>
      <c r="D19" s="2" t="s">
        <v>48</v>
      </c>
      <c r="E19" s="2" t="s">
        <v>46</v>
      </c>
      <c r="F19" s="23" t="str">
        <f t="shared" si="0"/>
        <v>1160|1º Mesário</v>
      </c>
    </row>
    <row r="20" spans="1:6" x14ac:dyDescent="0.25">
      <c r="A20" s="28">
        <v>1160</v>
      </c>
      <c r="B20" s="2" t="s">
        <v>13</v>
      </c>
      <c r="C20" s="30" t="s">
        <v>49</v>
      </c>
      <c r="D20" s="2" t="s">
        <v>50</v>
      </c>
      <c r="E20" s="2" t="s">
        <v>46</v>
      </c>
      <c r="F20" s="23" t="str">
        <f t="shared" si="0"/>
        <v>1160|2º Mesário</v>
      </c>
    </row>
    <row r="21" spans="1:6" x14ac:dyDescent="0.25">
      <c r="A21" s="28">
        <v>1160</v>
      </c>
      <c r="B21" s="2" t="s">
        <v>16</v>
      </c>
      <c r="C21" s="30" t="s">
        <v>51</v>
      </c>
      <c r="D21" s="2" t="s">
        <v>52</v>
      </c>
      <c r="E21" s="2" t="s">
        <v>46</v>
      </c>
      <c r="F21" s="23" t="str">
        <f t="shared" si="0"/>
        <v>1160|1º Secretário</v>
      </c>
    </row>
    <row r="22" spans="1:6" x14ac:dyDescent="0.25">
      <c r="A22" s="28">
        <v>1352</v>
      </c>
      <c r="B22" s="2" t="s">
        <v>6</v>
      </c>
      <c r="C22" s="30" t="s">
        <v>53</v>
      </c>
      <c r="D22" s="2" t="s">
        <v>54</v>
      </c>
      <c r="E22" s="2" t="s">
        <v>9</v>
      </c>
      <c r="F22" s="23" t="str">
        <f t="shared" si="0"/>
        <v>1352|Presidente</v>
      </c>
    </row>
    <row r="23" spans="1:6" x14ac:dyDescent="0.25">
      <c r="A23" s="28">
        <v>1352</v>
      </c>
      <c r="B23" s="2" t="s">
        <v>10</v>
      </c>
      <c r="C23" s="30" t="s">
        <v>55</v>
      </c>
      <c r="D23" s="2" t="s">
        <v>56</v>
      </c>
      <c r="E23" s="2" t="s">
        <v>9</v>
      </c>
      <c r="F23" s="23" t="str">
        <f t="shared" si="0"/>
        <v>1352|1º Mesário</v>
      </c>
    </row>
    <row r="24" spans="1:6" x14ac:dyDescent="0.25">
      <c r="A24" s="28">
        <v>1352</v>
      </c>
      <c r="B24" s="2" t="s">
        <v>13</v>
      </c>
      <c r="C24" s="30" t="s">
        <v>57</v>
      </c>
      <c r="D24" s="2" t="s">
        <v>58</v>
      </c>
      <c r="E24" s="2" t="s">
        <v>9</v>
      </c>
      <c r="F24" s="23" t="str">
        <f t="shared" si="0"/>
        <v>1352|2º Mesário</v>
      </c>
    </row>
    <row r="25" spans="1:6" x14ac:dyDescent="0.25">
      <c r="A25" s="28">
        <v>1352</v>
      </c>
      <c r="B25" s="2" t="s">
        <v>16</v>
      </c>
      <c r="C25" s="30" t="s">
        <v>59</v>
      </c>
      <c r="D25" s="2" t="s">
        <v>60</v>
      </c>
      <c r="E25" s="2" t="s">
        <v>9</v>
      </c>
      <c r="F25" s="23" t="str">
        <f t="shared" si="0"/>
        <v>1352|1º Secretário</v>
      </c>
    </row>
    <row r="26" spans="1:6" x14ac:dyDescent="0.25">
      <c r="A26" s="28">
        <v>3054</v>
      </c>
      <c r="B26" s="2" t="s">
        <v>6</v>
      </c>
      <c r="C26" s="30" t="s">
        <v>61</v>
      </c>
      <c r="D26" s="2" t="s">
        <v>62</v>
      </c>
      <c r="E26" s="2" t="s">
        <v>9</v>
      </c>
      <c r="F26" s="23" t="str">
        <f t="shared" si="0"/>
        <v>3054|Presidente</v>
      </c>
    </row>
    <row r="27" spans="1:6" x14ac:dyDescent="0.25">
      <c r="A27" s="28">
        <v>3054</v>
      </c>
      <c r="B27" s="2" t="s">
        <v>10</v>
      </c>
      <c r="C27" s="30" t="s">
        <v>63</v>
      </c>
      <c r="D27" s="2" t="s">
        <v>64</v>
      </c>
      <c r="E27" s="2" t="s">
        <v>9</v>
      </c>
      <c r="F27" s="23" t="str">
        <f t="shared" si="0"/>
        <v>3054|1º Mesário</v>
      </c>
    </row>
    <row r="28" spans="1:6" x14ac:dyDescent="0.25">
      <c r="A28" s="28">
        <v>3054</v>
      </c>
      <c r="B28" s="2" t="s">
        <v>13</v>
      </c>
      <c r="C28" s="30" t="s">
        <v>65</v>
      </c>
      <c r="D28" s="2" t="s">
        <v>66</v>
      </c>
      <c r="E28" s="2" t="s">
        <v>21</v>
      </c>
      <c r="F28" s="23" t="str">
        <f t="shared" si="0"/>
        <v>3054|2º Mesário</v>
      </c>
    </row>
    <row r="29" spans="1:6" x14ac:dyDescent="0.25">
      <c r="A29" s="28">
        <v>3054</v>
      </c>
      <c r="B29" s="2" t="s">
        <v>16</v>
      </c>
      <c r="C29" s="30" t="s">
        <v>67</v>
      </c>
      <c r="D29" s="2" t="s">
        <v>68</v>
      </c>
      <c r="E29" s="2" t="s">
        <v>21</v>
      </c>
      <c r="F29" s="23" t="str">
        <f t="shared" si="0"/>
        <v>3054|1º Secretário</v>
      </c>
    </row>
    <row r="30" spans="1:6" x14ac:dyDescent="0.25">
      <c r="A30" s="28">
        <v>3078</v>
      </c>
      <c r="B30" s="2" t="s">
        <v>6</v>
      </c>
      <c r="C30" s="30" t="s">
        <v>69</v>
      </c>
      <c r="D30" s="2" t="s">
        <v>70</v>
      </c>
      <c r="E30" s="2" t="s">
        <v>9</v>
      </c>
      <c r="F30" s="23" t="str">
        <f t="shared" si="0"/>
        <v>3078|Presidente</v>
      </c>
    </row>
    <row r="31" spans="1:6" x14ac:dyDescent="0.25">
      <c r="A31" s="28">
        <v>3078</v>
      </c>
      <c r="B31" s="2" t="s">
        <v>10</v>
      </c>
      <c r="C31" s="30" t="s">
        <v>71</v>
      </c>
      <c r="D31" s="2" t="s">
        <v>72</v>
      </c>
      <c r="E31" s="2" t="s">
        <v>9</v>
      </c>
      <c r="F31" s="23" t="str">
        <f t="shared" si="0"/>
        <v>3078|1º Mesário</v>
      </c>
    </row>
    <row r="32" spans="1:6" x14ac:dyDescent="0.25">
      <c r="A32" s="28">
        <v>3078</v>
      </c>
      <c r="B32" s="2" t="s">
        <v>13</v>
      </c>
      <c r="C32" s="30" t="s">
        <v>73</v>
      </c>
      <c r="D32" s="2" t="s">
        <v>74</v>
      </c>
      <c r="E32" s="2" t="s">
        <v>9</v>
      </c>
      <c r="F32" s="23" t="str">
        <f t="shared" si="0"/>
        <v>3078|2º Mesário</v>
      </c>
    </row>
    <row r="33" spans="1:6" x14ac:dyDescent="0.25">
      <c r="A33" s="28">
        <v>3078</v>
      </c>
      <c r="B33" s="2" t="s">
        <v>16</v>
      </c>
      <c r="C33" s="30" t="s">
        <v>75</v>
      </c>
      <c r="D33" s="2" t="s">
        <v>76</v>
      </c>
      <c r="E33" s="2" t="s">
        <v>9</v>
      </c>
      <c r="F33" s="23" t="str">
        <f t="shared" si="0"/>
        <v>3078|1º Secretário</v>
      </c>
    </row>
    <row r="34" spans="1:6" x14ac:dyDescent="0.25">
      <c r="A34" s="28">
        <v>3108</v>
      </c>
      <c r="B34" s="2" t="s">
        <v>6</v>
      </c>
      <c r="C34" s="30" t="s">
        <v>77</v>
      </c>
      <c r="D34" s="2" t="s">
        <v>78</v>
      </c>
      <c r="E34" s="2" t="s">
        <v>9</v>
      </c>
      <c r="F34" s="23" t="str">
        <f t="shared" ref="F34:F65" si="1">A34&amp;"|"&amp;B34</f>
        <v>3108|Presidente</v>
      </c>
    </row>
    <row r="35" spans="1:6" x14ac:dyDescent="0.25">
      <c r="A35" s="28">
        <v>3108</v>
      </c>
      <c r="B35" s="2" t="s">
        <v>10</v>
      </c>
      <c r="C35" s="30" t="s">
        <v>79</v>
      </c>
      <c r="D35" s="2" t="s">
        <v>80</v>
      </c>
      <c r="E35" s="2" t="s">
        <v>9</v>
      </c>
      <c r="F35" s="23" t="str">
        <f t="shared" si="1"/>
        <v>3108|1º Mesário</v>
      </c>
    </row>
    <row r="36" spans="1:6" x14ac:dyDescent="0.25">
      <c r="A36" s="28">
        <v>3108</v>
      </c>
      <c r="B36" s="2" t="s">
        <v>13</v>
      </c>
      <c r="C36" s="30" t="s">
        <v>81</v>
      </c>
      <c r="D36" s="2" t="s">
        <v>82</v>
      </c>
      <c r="E36" s="2" t="s">
        <v>9</v>
      </c>
      <c r="F36" s="23" t="str">
        <f t="shared" si="1"/>
        <v>3108|2º Mesário</v>
      </c>
    </row>
    <row r="37" spans="1:6" x14ac:dyDescent="0.25">
      <c r="A37" s="28">
        <v>3108</v>
      </c>
      <c r="B37" s="2" t="s">
        <v>16</v>
      </c>
      <c r="C37" s="30" t="s">
        <v>83</v>
      </c>
      <c r="D37" s="2" t="s">
        <v>84</v>
      </c>
      <c r="E37" s="2" t="s">
        <v>9</v>
      </c>
      <c r="F37" s="23" t="str">
        <f t="shared" si="1"/>
        <v>3108|1º Secretário</v>
      </c>
    </row>
    <row r="38" spans="1:6" x14ac:dyDescent="0.25">
      <c r="A38" s="28">
        <v>3142</v>
      </c>
      <c r="B38" s="2" t="s">
        <v>6</v>
      </c>
      <c r="C38" s="30" t="s">
        <v>85</v>
      </c>
      <c r="D38" s="2" t="s">
        <v>86</v>
      </c>
      <c r="E38" s="2" t="s">
        <v>9</v>
      </c>
      <c r="F38" s="23" t="str">
        <f t="shared" si="1"/>
        <v>3142|Presidente</v>
      </c>
    </row>
    <row r="39" spans="1:6" x14ac:dyDescent="0.25">
      <c r="A39" s="28">
        <v>3142</v>
      </c>
      <c r="B39" s="2" t="s">
        <v>10</v>
      </c>
      <c r="C39" s="30" t="s">
        <v>87</v>
      </c>
      <c r="D39" s="2" t="s">
        <v>88</v>
      </c>
      <c r="E39" s="2" t="s">
        <v>9</v>
      </c>
      <c r="F39" s="23" t="str">
        <f t="shared" si="1"/>
        <v>3142|1º Mesário</v>
      </c>
    </row>
    <row r="40" spans="1:6" x14ac:dyDescent="0.25">
      <c r="A40" s="28">
        <v>3142</v>
      </c>
      <c r="B40" s="2" t="s">
        <v>13</v>
      </c>
      <c r="C40" s="30" t="s">
        <v>89</v>
      </c>
      <c r="D40" s="2" t="s">
        <v>90</v>
      </c>
      <c r="E40" s="2" t="s">
        <v>9</v>
      </c>
      <c r="F40" s="23" t="str">
        <f t="shared" si="1"/>
        <v>3142|2º Mesário</v>
      </c>
    </row>
    <row r="41" spans="1:6" x14ac:dyDescent="0.25">
      <c r="A41" s="28">
        <v>3142</v>
      </c>
      <c r="B41" s="2" t="s">
        <v>16</v>
      </c>
      <c r="C41" s="30" t="s">
        <v>91</v>
      </c>
      <c r="D41" s="2" t="s">
        <v>92</v>
      </c>
      <c r="E41" s="2" t="s">
        <v>9</v>
      </c>
      <c r="F41" s="23" t="str">
        <f t="shared" si="1"/>
        <v>3142|1º Secretário</v>
      </c>
    </row>
    <row r="42" spans="1:6" x14ac:dyDescent="0.25">
      <c r="A42" s="28">
        <v>3161</v>
      </c>
      <c r="B42" s="2" t="s">
        <v>6</v>
      </c>
      <c r="C42" s="30" t="s">
        <v>93</v>
      </c>
      <c r="D42" s="2" t="s">
        <v>94</v>
      </c>
      <c r="E42" s="2" t="s">
        <v>21</v>
      </c>
      <c r="F42" s="23" t="str">
        <f t="shared" si="1"/>
        <v>3161|Presidente</v>
      </c>
    </row>
    <row r="43" spans="1:6" x14ac:dyDescent="0.25">
      <c r="A43" s="28">
        <v>3161</v>
      </c>
      <c r="B43" s="2" t="s">
        <v>10</v>
      </c>
      <c r="C43" s="30" t="s">
        <v>95</v>
      </c>
      <c r="D43" s="2" t="s">
        <v>96</v>
      </c>
      <c r="E43" s="2" t="s">
        <v>9</v>
      </c>
      <c r="F43" s="23" t="str">
        <f t="shared" si="1"/>
        <v>3161|1º Mesário</v>
      </c>
    </row>
    <row r="44" spans="1:6" x14ac:dyDescent="0.25">
      <c r="A44" s="28">
        <v>3161</v>
      </c>
      <c r="B44" s="2" t="s">
        <v>13</v>
      </c>
      <c r="C44" s="30" t="s">
        <v>97</v>
      </c>
      <c r="D44" s="2" t="s">
        <v>98</v>
      </c>
      <c r="E44" s="2" t="s">
        <v>9</v>
      </c>
      <c r="F44" s="23" t="str">
        <f t="shared" si="1"/>
        <v>3161|2º Mesário</v>
      </c>
    </row>
    <row r="45" spans="1:6" x14ac:dyDescent="0.25">
      <c r="A45" s="28">
        <v>3161</v>
      </c>
      <c r="B45" s="2" t="s">
        <v>16</v>
      </c>
      <c r="C45" s="30" t="s">
        <v>99</v>
      </c>
      <c r="D45" s="2" t="s">
        <v>100</v>
      </c>
      <c r="E45" s="2" t="s">
        <v>9</v>
      </c>
      <c r="F45" s="23" t="str">
        <f t="shared" si="1"/>
        <v>3161|1º Secretário</v>
      </c>
    </row>
    <row r="46" spans="1:6" x14ac:dyDescent="0.25">
      <c r="A46" s="28">
        <v>3179</v>
      </c>
      <c r="B46" s="2" t="s">
        <v>6</v>
      </c>
      <c r="C46" s="30" t="s">
        <v>101</v>
      </c>
      <c r="D46" s="2" t="s">
        <v>102</v>
      </c>
      <c r="E46" s="2" t="s">
        <v>9</v>
      </c>
      <c r="F46" s="23" t="str">
        <f t="shared" si="1"/>
        <v>3179|Presidente</v>
      </c>
    </row>
    <row r="47" spans="1:6" x14ac:dyDescent="0.25">
      <c r="A47" s="28">
        <v>3179</v>
      </c>
      <c r="B47" s="2" t="s">
        <v>10</v>
      </c>
      <c r="C47" s="30" t="s">
        <v>103</v>
      </c>
      <c r="D47" s="2" t="s">
        <v>104</v>
      </c>
      <c r="E47" s="2" t="s">
        <v>21</v>
      </c>
      <c r="F47" s="23" t="str">
        <f t="shared" si="1"/>
        <v>3179|1º Mesário</v>
      </c>
    </row>
    <row r="48" spans="1:6" x14ac:dyDescent="0.25">
      <c r="A48" s="28">
        <v>3179</v>
      </c>
      <c r="B48" s="2" t="s">
        <v>13</v>
      </c>
      <c r="C48" s="30" t="s">
        <v>105</v>
      </c>
      <c r="D48" s="2" t="s">
        <v>106</v>
      </c>
      <c r="E48" s="2" t="s">
        <v>21</v>
      </c>
      <c r="F48" s="23" t="str">
        <f t="shared" si="1"/>
        <v>3179|2º Mesário</v>
      </c>
    </row>
    <row r="49" spans="1:6" x14ac:dyDescent="0.25">
      <c r="A49" s="28">
        <v>3179</v>
      </c>
      <c r="B49" s="2" t="s">
        <v>16</v>
      </c>
      <c r="C49" s="30" t="s">
        <v>107</v>
      </c>
      <c r="D49" s="2" t="s">
        <v>108</v>
      </c>
      <c r="E49" s="2" t="s">
        <v>9</v>
      </c>
      <c r="F49" s="23" t="str">
        <f t="shared" si="1"/>
        <v>3179|1º Secretário</v>
      </c>
    </row>
    <row r="50" spans="1:6" x14ac:dyDescent="0.25">
      <c r="A50" s="28">
        <v>3216</v>
      </c>
      <c r="B50" s="2" t="s">
        <v>6</v>
      </c>
      <c r="C50" s="30" t="s">
        <v>109</v>
      </c>
      <c r="D50" s="2" t="s">
        <v>110</v>
      </c>
      <c r="E50" s="2" t="s">
        <v>9</v>
      </c>
      <c r="F50" s="23" t="str">
        <f t="shared" si="1"/>
        <v>3216|Presidente</v>
      </c>
    </row>
    <row r="51" spans="1:6" x14ac:dyDescent="0.25">
      <c r="A51" s="28">
        <v>3216</v>
      </c>
      <c r="B51" s="2" t="s">
        <v>10</v>
      </c>
      <c r="C51" s="30" t="s">
        <v>111</v>
      </c>
      <c r="D51" s="2" t="s">
        <v>112</v>
      </c>
      <c r="E51" s="2" t="s">
        <v>9</v>
      </c>
      <c r="F51" s="23" t="str">
        <f t="shared" si="1"/>
        <v>3216|1º Mesário</v>
      </c>
    </row>
    <row r="52" spans="1:6" x14ac:dyDescent="0.25">
      <c r="A52" s="28">
        <v>3216</v>
      </c>
      <c r="B52" s="2" t="s">
        <v>13</v>
      </c>
      <c r="C52" s="30" t="s">
        <v>113</v>
      </c>
      <c r="D52" s="2" t="s">
        <v>114</v>
      </c>
      <c r="E52" s="2" t="s">
        <v>9</v>
      </c>
      <c r="F52" s="23" t="str">
        <f t="shared" si="1"/>
        <v>3216|2º Mesário</v>
      </c>
    </row>
    <row r="53" spans="1:6" x14ac:dyDescent="0.25">
      <c r="A53" s="28">
        <v>3216</v>
      </c>
      <c r="B53" s="2" t="s">
        <v>16</v>
      </c>
      <c r="C53" s="30" t="s">
        <v>115</v>
      </c>
      <c r="D53" s="2" t="s">
        <v>116</v>
      </c>
      <c r="E53" s="2" t="s">
        <v>9</v>
      </c>
      <c r="F53" s="23" t="str">
        <f t="shared" si="1"/>
        <v>3216|1º Secretário</v>
      </c>
    </row>
    <row r="54" spans="1:6" x14ac:dyDescent="0.25">
      <c r="A54" s="28">
        <v>3229</v>
      </c>
      <c r="B54" s="2" t="s">
        <v>6</v>
      </c>
      <c r="C54" s="30" t="s">
        <v>117</v>
      </c>
      <c r="D54" s="2" t="s">
        <v>118</v>
      </c>
      <c r="E54" s="2" t="s">
        <v>9</v>
      </c>
      <c r="F54" s="23" t="str">
        <f t="shared" si="1"/>
        <v>3229|Presidente</v>
      </c>
    </row>
    <row r="55" spans="1:6" x14ac:dyDescent="0.25">
      <c r="A55" s="28">
        <v>3229</v>
      </c>
      <c r="B55" s="2" t="s">
        <v>10</v>
      </c>
      <c r="C55" s="30" t="s">
        <v>119</v>
      </c>
      <c r="D55" s="2" t="s">
        <v>120</v>
      </c>
      <c r="E55" s="2" t="s">
        <v>9</v>
      </c>
      <c r="F55" s="23" t="str">
        <f t="shared" si="1"/>
        <v>3229|1º Mesário</v>
      </c>
    </row>
    <row r="56" spans="1:6" x14ac:dyDescent="0.25">
      <c r="A56" s="28">
        <v>3229</v>
      </c>
      <c r="B56" s="2" t="s">
        <v>13</v>
      </c>
      <c r="C56" s="30" t="s">
        <v>121</v>
      </c>
      <c r="D56" s="2" t="s">
        <v>122</v>
      </c>
      <c r="E56" s="2" t="s">
        <v>9</v>
      </c>
      <c r="F56" s="23" t="str">
        <f t="shared" si="1"/>
        <v>3229|2º Mesário</v>
      </c>
    </row>
    <row r="57" spans="1:6" x14ac:dyDescent="0.25">
      <c r="A57" s="28">
        <v>3229</v>
      </c>
      <c r="B57" s="2" t="s">
        <v>16</v>
      </c>
      <c r="C57" s="30" t="s">
        <v>123</v>
      </c>
      <c r="D57" s="2" t="s">
        <v>124</v>
      </c>
      <c r="E57" s="2" t="s">
        <v>9</v>
      </c>
      <c r="F57" s="23" t="str">
        <f t="shared" si="1"/>
        <v>3229|1º Secretário</v>
      </c>
    </row>
    <row r="58" spans="1:6" x14ac:dyDescent="0.25">
      <c r="A58" s="28">
        <v>3245</v>
      </c>
      <c r="B58" s="2" t="s">
        <v>6</v>
      </c>
      <c r="C58" s="30" t="s">
        <v>125</v>
      </c>
      <c r="D58" s="2" t="s">
        <v>126</v>
      </c>
      <c r="E58" s="2" t="s">
        <v>46</v>
      </c>
      <c r="F58" s="23" t="str">
        <f t="shared" si="1"/>
        <v>3245|Presidente</v>
      </c>
    </row>
    <row r="59" spans="1:6" x14ac:dyDescent="0.25">
      <c r="A59" s="28">
        <v>3245</v>
      </c>
      <c r="B59" s="2" t="s">
        <v>10</v>
      </c>
      <c r="C59" s="30" t="s">
        <v>127</v>
      </c>
      <c r="D59" s="2" t="s">
        <v>128</v>
      </c>
      <c r="E59" s="2" t="s">
        <v>46</v>
      </c>
      <c r="F59" s="23" t="str">
        <f t="shared" si="1"/>
        <v>3245|1º Mesário</v>
      </c>
    </row>
    <row r="60" spans="1:6" x14ac:dyDescent="0.25">
      <c r="A60" s="28">
        <v>3245</v>
      </c>
      <c r="B60" s="2" t="s">
        <v>13</v>
      </c>
      <c r="C60" s="30" t="s">
        <v>127</v>
      </c>
      <c r="D60" s="2" t="s">
        <v>129</v>
      </c>
      <c r="E60" s="2" t="s">
        <v>46</v>
      </c>
      <c r="F60" s="23" t="str">
        <f t="shared" si="1"/>
        <v>3245|2º Mesário</v>
      </c>
    </row>
    <row r="61" spans="1:6" x14ac:dyDescent="0.25">
      <c r="A61" s="28">
        <v>3245</v>
      </c>
      <c r="B61" s="2" t="s">
        <v>16</v>
      </c>
      <c r="C61" s="30" t="s">
        <v>130</v>
      </c>
      <c r="D61" s="2" t="s">
        <v>131</v>
      </c>
      <c r="E61" s="2" t="s">
        <v>132</v>
      </c>
      <c r="F61" s="23" t="str">
        <f t="shared" si="1"/>
        <v>3245|1º Secretário</v>
      </c>
    </row>
    <row r="62" spans="1:6" x14ac:dyDescent="0.25">
      <c r="A62" s="28">
        <v>3302</v>
      </c>
      <c r="B62" s="2" t="s">
        <v>6</v>
      </c>
      <c r="C62" s="30" t="s">
        <v>133</v>
      </c>
      <c r="D62" s="2" t="s">
        <v>134</v>
      </c>
      <c r="E62" s="2" t="s">
        <v>9</v>
      </c>
      <c r="F62" s="23" t="str">
        <f t="shared" si="1"/>
        <v>3302|Presidente</v>
      </c>
    </row>
    <row r="63" spans="1:6" x14ac:dyDescent="0.25">
      <c r="A63" s="28">
        <v>3302</v>
      </c>
      <c r="B63" s="2" t="s">
        <v>10</v>
      </c>
      <c r="C63" s="30" t="s">
        <v>135</v>
      </c>
      <c r="D63" s="2" t="s">
        <v>136</v>
      </c>
      <c r="E63" s="2" t="s">
        <v>9</v>
      </c>
      <c r="F63" s="23" t="str">
        <f t="shared" si="1"/>
        <v>3302|1º Mesário</v>
      </c>
    </row>
    <row r="64" spans="1:6" x14ac:dyDescent="0.25">
      <c r="A64" s="28">
        <v>3302</v>
      </c>
      <c r="B64" s="2" t="s">
        <v>13</v>
      </c>
      <c r="C64" s="30" t="s">
        <v>137</v>
      </c>
      <c r="D64" s="2" t="s">
        <v>138</v>
      </c>
      <c r="E64" s="2" t="s">
        <v>9</v>
      </c>
      <c r="F64" s="23" t="str">
        <f t="shared" si="1"/>
        <v>3302|2º Mesário</v>
      </c>
    </row>
    <row r="65" spans="1:6" x14ac:dyDescent="0.25">
      <c r="A65" s="28">
        <v>3302</v>
      </c>
      <c r="B65" s="2" t="s">
        <v>16</v>
      </c>
      <c r="C65" s="30" t="s">
        <v>139</v>
      </c>
      <c r="D65" s="2" t="s">
        <v>140</v>
      </c>
      <c r="E65" s="2" t="s">
        <v>9</v>
      </c>
      <c r="F65" s="23" t="str">
        <f t="shared" si="1"/>
        <v>3302|1º Secretário</v>
      </c>
    </row>
    <row r="66" spans="1:6" x14ac:dyDescent="0.25">
      <c r="A66" s="28">
        <v>3305</v>
      </c>
      <c r="B66" s="2" t="s">
        <v>6</v>
      </c>
      <c r="C66" s="30" t="s">
        <v>127</v>
      </c>
      <c r="D66" s="2" t="s">
        <v>141</v>
      </c>
      <c r="E66" s="2" t="s">
        <v>46</v>
      </c>
      <c r="F66" s="23" t="str">
        <f t="shared" ref="F66:F97" si="2">A66&amp;"|"&amp;B66</f>
        <v>3305|Presidente</v>
      </c>
    </row>
    <row r="67" spans="1:6" x14ac:dyDescent="0.25">
      <c r="A67" s="28">
        <v>3305</v>
      </c>
      <c r="B67" s="2" t="s">
        <v>10</v>
      </c>
      <c r="C67" s="30" t="s">
        <v>142</v>
      </c>
      <c r="D67" s="2" t="s">
        <v>143</v>
      </c>
      <c r="E67" s="2" t="s">
        <v>46</v>
      </c>
      <c r="F67" s="23" t="str">
        <f t="shared" si="2"/>
        <v>3305|1º Mesário</v>
      </c>
    </row>
    <row r="68" spans="1:6" x14ac:dyDescent="0.25">
      <c r="A68" s="28">
        <v>3305</v>
      </c>
      <c r="B68" s="2" t="s">
        <v>13</v>
      </c>
      <c r="C68" s="30" t="s">
        <v>144</v>
      </c>
      <c r="D68" s="2" t="s">
        <v>145</v>
      </c>
      <c r="E68" s="2" t="s">
        <v>46</v>
      </c>
      <c r="F68" s="23" t="str">
        <f t="shared" si="2"/>
        <v>3305|2º Mesário</v>
      </c>
    </row>
    <row r="69" spans="1:6" x14ac:dyDescent="0.25">
      <c r="A69" s="28">
        <v>3305</v>
      </c>
      <c r="B69" s="2" t="s">
        <v>16</v>
      </c>
      <c r="C69" s="30" t="s">
        <v>146</v>
      </c>
      <c r="D69" s="2" t="s">
        <v>147</v>
      </c>
      <c r="E69" s="2" t="s">
        <v>46</v>
      </c>
      <c r="F69" s="23" t="str">
        <f t="shared" si="2"/>
        <v>3305|1º Secretário</v>
      </c>
    </row>
    <row r="70" spans="1:6" x14ac:dyDescent="0.25">
      <c r="A70" s="28">
        <v>3306</v>
      </c>
      <c r="B70" s="2" t="s">
        <v>6</v>
      </c>
      <c r="C70" s="30" t="s">
        <v>148</v>
      </c>
      <c r="D70" s="2" t="s">
        <v>149</v>
      </c>
      <c r="E70" s="2" t="s">
        <v>9</v>
      </c>
      <c r="F70" s="23" t="str">
        <f t="shared" si="2"/>
        <v>3306|Presidente</v>
      </c>
    </row>
    <row r="71" spans="1:6" x14ac:dyDescent="0.25">
      <c r="A71" s="28">
        <v>3306</v>
      </c>
      <c r="B71" s="2" t="s">
        <v>10</v>
      </c>
      <c r="C71" s="30" t="s">
        <v>150</v>
      </c>
      <c r="D71" s="2" t="s">
        <v>151</v>
      </c>
      <c r="E71" s="2" t="s">
        <v>9</v>
      </c>
      <c r="F71" s="23" t="str">
        <f t="shared" si="2"/>
        <v>3306|1º Mesário</v>
      </c>
    </row>
    <row r="72" spans="1:6" x14ac:dyDescent="0.25">
      <c r="A72" s="28">
        <v>3306</v>
      </c>
      <c r="B72" s="2" t="s">
        <v>13</v>
      </c>
      <c r="C72" s="30" t="s">
        <v>152</v>
      </c>
      <c r="D72" s="2" t="s">
        <v>153</v>
      </c>
      <c r="E72" s="2" t="s">
        <v>9</v>
      </c>
      <c r="F72" s="23" t="str">
        <f t="shared" si="2"/>
        <v>3306|2º Mesário</v>
      </c>
    </row>
    <row r="73" spans="1:6" x14ac:dyDescent="0.25">
      <c r="A73" s="28">
        <v>3306</v>
      </c>
      <c r="B73" s="2" t="s">
        <v>16</v>
      </c>
      <c r="C73" s="30" t="s">
        <v>154</v>
      </c>
      <c r="D73" s="2" t="s">
        <v>155</v>
      </c>
      <c r="E73" s="2" t="s">
        <v>9</v>
      </c>
      <c r="F73" s="23" t="str">
        <f t="shared" si="2"/>
        <v>3306|1º Secretário</v>
      </c>
    </row>
    <row r="74" spans="1:6" x14ac:dyDescent="0.25">
      <c r="A74" s="28">
        <v>3308</v>
      </c>
      <c r="B74" s="2" t="s">
        <v>6</v>
      </c>
      <c r="C74" s="30" t="s">
        <v>156</v>
      </c>
      <c r="D74" s="2" t="s">
        <v>157</v>
      </c>
      <c r="E74" s="2" t="s">
        <v>9</v>
      </c>
      <c r="F74" s="23" t="str">
        <f t="shared" si="2"/>
        <v>3308|Presidente</v>
      </c>
    </row>
    <row r="75" spans="1:6" x14ac:dyDescent="0.25">
      <c r="A75" s="28">
        <v>3308</v>
      </c>
      <c r="B75" s="2" t="s">
        <v>10</v>
      </c>
      <c r="C75" s="30" t="s">
        <v>158</v>
      </c>
      <c r="D75" s="2" t="s">
        <v>159</v>
      </c>
      <c r="E75" s="2" t="s">
        <v>9</v>
      </c>
      <c r="F75" s="23" t="str">
        <f t="shared" si="2"/>
        <v>3308|1º Mesário</v>
      </c>
    </row>
    <row r="76" spans="1:6" x14ac:dyDescent="0.25">
      <c r="A76" s="28">
        <v>3308</v>
      </c>
      <c r="B76" s="2" t="s">
        <v>13</v>
      </c>
      <c r="C76" s="30" t="s">
        <v>160</v>
      </c>
      <c r="D76" s="2" t="s">
        <v>161</v>
      </c>
      <c r="E76" s="2" t="s">
        <v>9</v>
      </c>
      <c r="F76" s="23" t="str">
        <f t="shared" si="2"/>
        <v>3308|2º Mesário</v>
      </c>
    </row>
    <row r="77" spans="1:6" x14ac:dyDescent="0.25">
      <c r="A77" s="28">
        <v>3308</v>
      </c>
      <c r="B77" s="2" t="s">
        <v>16</v>
      </c>
      <c r="C77" s="30" t="s">
        <v>162</v>
      </c>
      <c r="D77" s="2" t="s">
        <v>163</v>
      </c>
      <c r="E77" s="2" t="s">
        <v>9</v>
      </c>
      <c r="F77" s="23" t="str">
        <f t="shared" si="2"/>
        <v>3308|1º Secretário</v>
      </c>
    </row>
    <row r="78" spans="1:6" x14ac:dyDescent="0.25">
      <c r="A78" s="28">
        <v>3309</v>
      </c>
      <c r="B78" s="2" t="s">
        <v>6</v>
      </c>
      <c r="C78" s="30" t="s">
        <v>164</v>
      </c>
      <c r="D78" s="2" t="s">
        <v>165</v>
      </c>
      <c r="E78" s="2" t="s">
        <v>9</v>
      </c>
      <c r="F78" s="23" t="str">
        <f t="shared" si="2"/>
        <v>3309|Presidente</v>
      </c>
    </row>
    <row r="79" spans="1:6" x14ac:dyDescent="0.25">
      <c r="A79" s="28">
        <v>3309</v>
      </c>
      <c r="B79" s="2" t="s">
        <v>10</v>
      </c>
      <c r="C79" s="30" t="s">
        <v>166</v>
      </c>
      <c r="D79" s="2" t="s">
        <v>167</v>
      </c>
      <c r="E79" s="2" t="s">
        <v>9</v>
      </c>
      <c r="F79" s="23" t="str">
        <f t="shared" si="2"/>
        <v>3309|1º Mesário</v>
      </c>
    </row>
    <row r="80" spans="1:6" x14ac:dyDescent="0.25">
      <c r="A80" s="28">
        <v>3309</v>
      </c>
      <c r="B80" s="2" t="s">
        <v>13</v>
      </c>
      <c r="C80" s="30" t="s">
        <v>168</v>
      </c>
      <c r="D80" s="2" t="s">
        <v>169</v>
      </c>
      <c r="E80" s="2" t="s">
        <v>9</v>
      </c>
      <c r="F80" s="23" t="str">
        <f t="shared" si="2"/>
        <v>3309|2º Mesário</v>
      </c>
    </row>
    <row r="81" spans="1:6" x14ac:dyDescent="0.25">
      <c r="A81" s="28">
        <v>3309</v>
      </c>
      <c r="B81" s="2" t="s">
        <v>16</v>
      </c>
      <c r="C81" s="30"/>
      <c r="D81" s="2" t="s">
        <v>170</v>
      </c>
      <c r="E81" s="2" t="s">
        <v>9</v>
      </c>
      <c r="F81" s="23" t="str">
        <f t="shared" si="2"/>
        <v>3309|1º Secretário</v>
      </c>
    </row>
    <row r="82" spans="1:6" x14ac:dyDescent="0.25">
      <c r="A82" s="28">
        <v>3311</v>
      </c>
      <c r="B82" s="2" t="s">
        <v>6</v>
      </c>
      <c r="C82" s="30" t="s">
        <v>171</v>
      </c>
      <c r="D82" s="2" t="s">
        <v>172</v>
      </c>
      <c r="E82" s="2" t="s">
        <v>132</v>
      </c>
      <c r="F82" s="23" t="str">
        <f t="shared" si="2"/>
        <v>3311|Presidente</v>
      </c>
    </row>
    <row r="83" spans="1:6" x14ac:dyDescent="0.25">
      <c r="A83" s="28">
        <v>3311</v>
      </c>
      <c r="B83" s="2" t="s">
        <v>10</v>
      </c>
      <c r="C83" s="30" t="s">
        <v>173</v>
      </c>
      <c r="D83" s="2" t="s">
        <v>174</v>
      </c>
      <c r="E83" s="2" t="s">
        <v>132</v>
      </c>
      <c r="F83" s="23" t="str">
        <f t="shared" si="2"/>
        <v>3311|1º Mesário</v>
      </c>
    </row>
    <row r="84" spans="1:6" x14ac:dyDescent="0.25">
      <c r="A84" s="28">
        <v>3311</v>
      </c>
      <c r="B84" s="2" t="s">
        <v>13</v>
      </c>
      <c r="C84" s="30" t="s">
        <v>175</v>
      </c>
      <c r="D84" s="2" t="s">
        <v>176</v>
      </c>
      <c r="E84" s="2" t="s">
        <v>46</v>
      </c>
      <c r="F84" s="23" t="str">
        <f t="shared" si="2"/>
        <v>3311|2º Mesário</v>
      </c>
    </row>
    <row r="85" spans="1:6" x14ac:dyDescent="0.25">
      <c r="A85" s="28">
        <v>3311</v>
      </c>
      <c r="B85" s="2" t="s">
        <v>16</v>
      </c>
      <c r="C85" s="30" t="s">
        <v>177</v>
      </c>
      <c r="D85" s="2" t="s">
        <v>178</v>
      </c>
      <c r="E85" s="2" t="s">
        <v>46</v>
      </c>
      <c r="F85" s="23" t="str">
        <f t="shared" si="2"/>
        <v>3311|1º Secretário</v>
      </c>
    </row>
    <row r="86" spans="1:6" x14ac:dyDescent="0.25">
      <c r="A86" s="28">
        <v>3313</v>
      </c>
      <c r="B86" s="2" t="s">
        <v>6</v>
      </c>
      <c r="C86" s="30" t="s">
        <v>179</v>
      </c>
      <c r="D86" s="2" t="s">
        <v>180</v>
      </c>
      <c r="E86" s="2" t="s">
        <v>9</v>
      </c>
      <c r="F86" s="23" t="str">
        <f t="shared" si="2"/>
        <v>3313|Presidente</v>
      </c>
    </row>
    <row r="87" spans="1:6" x14ac:dyDescent="0.25">
      <c r="A87" s="28">
        <v>3313</v>
      </c>
      <c r="B87" s="2" t="s">
        <v>10</v>
      </c>
      <c r="C87" s="30" t="s">
        <v>181</v>
      </c>
      <c r="D87" s="2" t="s">
        <v>182</v>
      </c>
      <c r="E87" s="2" t="s">
        <v>9</v>
      </c>
      <c r="F87" s="23" t="str">
        <f t="shared" si="2"/>
        <v>3313|1º Mesário</v>
      </c>
    </row>
    <row r="88" spans="1:6" x14ac:dyDescent="0.25">
      <c r="A88" s="28">
        <v>3313</v>
      </c>
      <c r="B88" s="2" t="s">
        <v>13</v>
      </c>
      <c r="C88" s="30" t="s">
        <v>183</v>
      </c>
      <c r="D88" s="2" t="s">
        <v>184</v>
      </c>
      <c r="E88" s="2" t="s">
        <v>9</v>
      </c>
      <c r="F88" s="23" t="str">
        <f t="shared" si="2"/>
        <v>3313|2º Mesário</v>
      </c>
    </row>
    <row r="89" spans="1:6" x14ac:dyDescent="0.25">
      <c r="A89" s="28">
        <v>3313</v>
      </c>
      <c r="B89" s="2" t="s">
        <v>16</v>
      </c>
      <c r="C89" s="30" t="s">
        <v>185</v>
      </c>
      <c r="D89" s="2" t="s">
        <v>186</v>
      </c>
      <c r="E89" s="2" t="s">
        <v>9</v>
      </c>
      <c r="F89" s="23" t="str">
        <f t="shared" si="2"/>
        <v>3313|1º Secretário</v>
      </c>
    </row>
    <row r="90" spans="1:6" x14ac:dyDescent="0.25">
      <c r="A90" s="28">
        <v>3315</v>
      </c>
      <c r="B90" s="2" t="s">
        <v>6</v>
      </c>
      <c r="C90" s="30" t="s">
        <v>187</v>
      </c>
      <c r="D90" s="2" t="s">
        <v>188</v>
      </c>
      <c r="E90" s="2" t="s">
        <v>9</v>
      </c>
      <c r="F90" s="23" t="str">
        <f t="shared" si="2"/>
        <v>3315|Presidente</v>
      </c>
    </row>
    <row r="91" spans="1:6" x14ac:dyDescent="0.25">
      <c r="A91" s="28">
        <v>3315</v>
      </c>
      <c r="B91" s="2" t="s">
        <v>10</v>
      </c>
      <c r="C91" s="30" t="s">
        <v>189</v>
      </c>
      <c r="D91" s="2" t="s">
        <v>190</v>
      </c>
      <c r="E91" s="2" t="s">
        <v>9</v>
      </c>
      <c r="F91" s="23" t="str">
        <f t="shared" si="2"/>
        <v>3315|1º Mesário</v>
      </c>
    </row>
    <row r="92" spans="1:6" x14ac:dyDescent="0.25">
      <c r="A92" s="28">
        <v>3315</v>
      </c>
      <c r="B92" s="2" t="s">
        <v>13</v>
      </c>
      <c r="C92" s="30" t="s">
        <v>191</v>
      </c>
      <c r="D92" s="2" t="s">
        <v>192</v>
      </c>
      <c r="E92" s="2" t="s">
        <v>9</v>
      </c>
      <c r="F92" s="23" t="str">
        <f t="shared" si="2"/>
        <v>3315|2º Mesário</v>
      </c>
    </row>
    <row r="93" spans="1:6" x14ac:dyDescent="0.25">
      <c r="A93" s="28">
        <v>3315</v>
      </c>
      <c r="B93" s="2" t="s">
        <v>16</v>
      </c>
      <c r="C93" s="30" t="s">
        <v>193</v>
      </c>
      <c r="D93" s="2" t="s">
        <v>194</v>
      </c>
      <c r="E93" s="2" t="s">
        <v>9</v>
      </c>
      <c r="F93" s="23" t="str">
        <f t="shared" si="2"/>
        <v>3315|1º Secretário</v>
      </c>
    </row>
    <row r="94" spans="1:6" x14ac:dyDescent="0.25">
      <c r="A94" s="28">
        <v>3322</v>
      </c>
      <c r="B94" s="2" t="s">
        <v>6</v>
      </c>
      <c r="C94" s="30" t="s">
        <v>195</v>
      </c>
      <c r="D94" s="2" t="s">
        <v>196</v>
      </c>
      <c r="E94" s="2" t="s">
        <v>9</v>
      </c>
      <c r="F94" s="23" t="str">
        <f t="shared" si="2"/>
        <v>3322|Presidente</v>
      </c>
    </row>
    <row r="95" spans="1:6" x14ac:dyDescent="0.25">
      <c r="A95" s="28">
        <v>3322</v>
      </c>
      <c r="B95" s="2" t="s">
        <v>10</v>
      </c>
      <c r="C95" s="30" t="s">
        <v>197</v>
      </c>
      <c r="D95" s="2" t="s">
        <v>198</v>
      </c>
      <c r="E95" s="2" t="s">
        <v>21</v>
      </c>
      <c r="F95" s="23" t="str">
        <f t="shared" si="2"/>
        <v>3322|1º Mesário</v>
      </c>
    </row>
    <row r="96" spans="1:6" x14ac:dyDescent="0.25">
      <c r="A96" s="28">
        <v>3322</v>
      </c>
      <c r="B96" s="2" t="s">
        <v>13</v>
      </c>
      <c r="C96" s="30"/>
      <c r="D96" s="2" t="s">
        <v>199</v>
      </c>
      <c r="E96" s="2" t="s">
        <v>21</v>
      </c>
      <c r="F96" s="23" t="str">
        <f t="shared" si="2"/>
        <v>3322|2º Mesário</v>
      </c>
    </row>
    <row r="97" spans="1:6" x14ac:dyDescent="0.25">
      <c r="A97" s="28">
        <v>3322</v>
      </c>
      <c r="B97" s="2" t="s">
        <v>16</v>
      </c>
      <c r="C97" s="30" t="s">
        <v>200</v>
      </c>
      <c r="D97" s="2" t="s">
        <v>201</v>
      </c>
      <c r="E97" s="2" t="s">
        <v>9</v>
      </c>
      <c r="F97" s="23" t="str">
        <f t="shared" si="2"/>
        <v>3322|1º Secretário</v>
      </c>
    </row>
    <row r="98" spans="1:6" x14ac:dyDescent="0.25">
      <c r="A98" s="28">
        <v>3442</v>
      </c>
      <c r="B98" s="2" t="s">
        <v>6</v>
      </c>
      <c r="C98" s="30" t="s">
        <v>202</v>
      </c>
      <c r="D98" s="2" t="s">
        <v>203</v>
      </c>
      <c r="E98" s="2" t="s">
        <v>9</v>
      </c>
      <c r="F98" s="23" t="str">
        <f t="shared" ref="F98:F112" si="3">A98&amp;"|"&amp;B98</f>
        <v>3442|Presidente</v>
      </c>
    </row>
    <row r="99" spans="1:6" x14ac:dyDescent="0.25">
      <c r="A99" s="28">
        <v>3442</v>
      </c>
      <c r="B99" s="2" t="s">
        <v>10</v>
      </c>
      <c r="C99" s="30" t="s">
        <v>204</v>
      </c>
      <c r="D99" s="2" t="s">
        <v>205</v>
      </c>
      <c r="E99" s="2" t="s">
        <v>21</v>
      </c>
      <c r="F99" s="23" t="str">
        <f t="shared" si="3"/>
        <v>3442|1º Mesário</v>
      </c>
    </row>
    <row r="100" spans="1:6" ht="16.5" customHeight="1" x14ac:dyDescent="0.25">
      <c r="A100" s="28">
        <v>3442</v>
      </c>
      <c r="B100" s="2" t="s">
        <v>13</v>
      </c>
      <c r="C100" s="30" t="s">
        <v>206</v>
      </c>
      <c r="D100" s="2" t="s">
        <v>207</v>
      </c>
      <c r="E100" s="2" t="s">
        <v>21</v>
      </c>
      <c r="F100" s="23" t="str">
        <f t="shared" si="3"/>
        <v>3442|2º Mesário</v>
      </c>
    </row>
    <row r="101" spans="1:6" x14ac:dyDescent="0.25">
      <c r="A101" s="28">
        <v>3442</v>
      </c>
      <c r="B101" s="2" t="s">
        <v>16</v>
      </c>
      <c r="C101" s="30" t="s">
        <v>208</v>
      </c>
      <c r="D101" s="2" t="s">
        <v>209</v>
      </c>
      <c r="E101" s="2" t="s">
        <v>9</v>
      </c>
      <c r="F101" s="23" t="str">
        <f t="shared" si="3"/>
        <v>3442|1º Secretário</v>
      </c>
    </row>
    <row r="102" spans="1:6" x14ac:dyDescent="0.25">
      <c r="A102" s="28">
        <v>3688</v>
      </c>
      <c r="B102" s="2" t="s">
        <v>6</v>
      </c>
      <c r="C102" s="30" t="s">
        <v>210</v>
      </c>
      <c r="D102" s="2" t="s">
        <v>211</v>
      </c>
      <c r="E102" s="2" t="s">
        <v>9</v>
      </c>
      <c r="F102" s="23" t="str">
        <f t="shared" si="3"/>
        <v>3688|Presidente</v>
      </c>
    </row>
    <row r="103" spans="1:6" x14ac:dyDescent="0.25">
      <c r="A103" s="28">
        <v>3688</v>
      </c>
      <c r="B103" s="2" t="s">
        <v>10</v>
      </c>
      <c r="C103" s="30" t="s">
        <v>212</v>
      </c>
      <c r="D103" s="2" t="s">
        <v>213</v>
      </c>
      <c r="E103" s="2" t="s">
        <v>21</v>
      </c>
      <c r="F103" s="23" t="str">
        <f t="shared" si="3"/>
        <v>3688|1º Mesário</v>
      </c>
    </row>
    <row r="104" spans="1:6" x14ac:dyDescent="0.25">
      <c r="A104" s="28">
        <v>3688</v>
      </c>
      <c r="B104" s="2" t="s">
        <v>13</v>
      </c>
      <c r="C104" s="30"/>
      <c r="D104" s="2" t="s">
        <v>214</v>
      </c>
      <c r="E104" s="2" t="s">
        <v>9</v>
      </c>
      <c r="F104" s="23" t="str">
        <f t="shared" si="3"/>
        <v>3688|2º Mesário</v>
      </c>
    </row>
    <row r="105" spans="1:6" x14ac:dyDescent="0.25">
      <c r="A105" s="28">
        <v>3688</v>
      </c>
      <c r="B105" s="2" t="s">
        <v>16</v>
      </c>
      <c r="C105" s="30" t="s">
        <v>215</v>
      </c>
      <c r="D105" s="2" t="s">
        <v>216</v>
      </c>
      <c r="E105" s="2" t="s">
        <v>21</v>
      </c>
      <c r="F105" s="23" t="str">
        <f t="shared" si="3"/>
        <v>3688|1º Secretário</v>
      </c>
    </row>
    <row r="106" spans="1:6" x14ac:dyDescent="0.25">
      <c r="A106" s="28">
        <v>3832</v>
      </c>
      <c r="B106" s="2" t="s">
        <v>6</v>
      </c>
      <c r="C106" s="30" t="s">
        <v>127</v>
      </c>
      <c r="D106" s="2" t="s">
        <v>217</v>
      </c>
      <c r="E106" s="2" t="s">
        <v>9</v>
      </c>
      <c r="F106" s="23" t="str">
        <f t="shared" si="3"/>
        <v>3832|Presidente</v>
      </c>
    </row>
    <row r="107" spans="1:6" x14ac:dyDescent="0.25">
      <c r="A107" s="28">
        <v>3832</v>
      </c>
      <c r="B107" s="2" t="s">
        <v>10</v>
      </c>
      <c r="C107" s="30" t="s">
        <v>218</v>
      </c>
      <c r="D107" s="2" t="s">
        <v>219</v>
      </c>
      <c r="E107" s="2" t="s">
        <v>9</v>
      </c>
      <c r="F107" s="23" t="str">
        <f t="shared" si="3"/>
        <v>3832|1º Mesário</v>
      </c>
    </row>
    <row r="108" spans="1:6" x14ac:dyDescent="0.25">
      <c r="A108" s="28">
        <v>3832</v>
      </c>
      <c r="B108" s="2" t="s">
        <v>13</v>
      </c>
      <c r="C108" s="30" t="s">
        <v>220</v>
      </c>
      <c r="D108" s="2" t="s">
        <v>221</v>
      </c>
      <c r="E108" s="2" t="s">
        <v>9</v>
      </c>
      <c r="F108" s="23" t="str">
        <f t="shared" si="3"/>
        <v>3832|2º Mesário</v>
      </c>
    </row>
    <row r="109" spans="1:6" x14ac:dyDescent="0.25">
      <c r="A109" s="28">
        <v>3832</v>
      </c>
      <c r="B109" s="2" t="s">
        <v>16</v>
      </c>
      <c r="C109" s="30" t="s">
        <v>222</v>
      </c>
      <c r="D109" s="2" t="s">
        <v>223</v>
      </c>
      <c r="E109" s="2" t="s">
        <v>9</v>
      </c>
      <c r="F109" s="23" t="str">
        <f t="shared" si="3"/>
        <v>3832|1º Secretário</v>
      </c>
    </row>
    <row r="110" spans="1:6" x14ac:dyDescent="0.25">
      <c r="A110" s="28">
        <v>3862</v>
      </c>
      <c r="B110" s="2" t="s">
        <v>6</v>
      </c>
      <c r="C110" s="30" t="s">
        <v>224</v>
      </c>
      <c r="D110" s="2" t="s">
        <v>225</v>
      </c>
      <c r="E110" s="2" t="s">
        <v>9</v>
      </c>
      <c r="F110" s="23" t="str">
        <f t="shared" si="3"/>
        <v>3862|Presidente</v>
      </c>
    </row>
    <row r="111" spans="1:6" x14ac:dyDescent="0.25">
      <c r="A111" s="28">
        <v>3862</v>
      </c>
      <c r="B111" s="2" t="s">
        <v>10</v>
      </c>
      <c r="C111" s="30" t="s">
        <v>226</v>
      </c>
      <c r="D111" s="2" t="s">
        <v>227</v>
      </c>
      <c r="E111" s="2" t="s">
        <v>9</v>
      </c>
      <c r="F111" s="23" t="str">
        <f t="shared" si="3"/>
        <v>3862|1º Mesário</v>
      </c>
    </row>
    <row r="112" spans="1:6" x14ac:dyDescent="0.25">
      <c r="A112" s="28">
        <v>3862</v>
      </c>
      <c r="B112" s="2" t="s">
        <v>16</v>
      </c>
      <c r="C112" s="30" t="s">
        <v>127</v>
      </c>
      <c r="D112" s="2" t="s">
        <v>228</v>
      </c>
      <c r="E112" s="2" t="s">
        <v>9</v>
      </c>
      <c r="F112" s="23" t="str">
        <f t="shared" si="3"/>
        <v>3862|1º Secretário</v>
      </c>
    </row>
  </sheetData>
  <autoFilter ref="A1:F112" xr:uid="{00000000-0009-0000-0000-000001000000}"/>
  <conditionalFormatting sqref="A2:E112">
    <cfRule type="expression" dxfId="33" priority="1">
      <formula>$E2="SIM"</formula>
    </cfRule>
    <cfRule type="expression" dxfId="32" priority="2">
      <formula>$E2="NAO"</formula>
    </cfRule>
    <cfRule type="expression" dxfId="31" priority="3">
      <formula>$E2="0006/2026"</formula>
    </cfRule>
    <cfRule type="expression" dxfId="30" priority="4">
      <formula>$E2="-"</formula>
    </cfRule>
  </conditionalFormatting>
  <dataValidations count="1">
    <dataValidation type="list" allowBlank="1" promptTitle="Presença" prompt="SIM = presente · NAO = ausente · 0006/2026 · &quot;-&quot; = sem registro" sqref="E2:E112" xr:uid="{00000000-0002-0000-0100-000000000000}">
      <formula1>"SIM,NAO,0006/2026,-"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62" r:id="rId58" xr:uid="{00000000-0004-0000-0100-000039000000}"/>
    <hyperlink ref="C63" r:id="rId59" xr:uid="{00000000-0004-0000-0100-00003A000000}"/>
    <hyperlink ref="C64" r:id="rId60" xr:uid="{00000000-0004-0000-0100-00003B000000}"/>
    <hyperlink ref="C65" r:id="rId61" xr:uid="{00000000-0004-0000-0100-00003C000000}"/>
    <hyperlink ref="C67" r:id="rId62" xr:uid="{00000000-0004-0000-0100-00003D000000}"/>
    <hyperlink ref="C68" r:id="rId63" xr:uid="{00000000-0004-0000-0100-00003E000000}"/>
    <hyperlink ref="C69" r:id="rId64" xr:uid="{00000000-0004-0000-0100-00003F000000}"/>
    <hyperlink ref="C70" r:id="rId65" xr:uid="{00000000-0004-0000-0100-000040000000}"/>
    <hyperlink ref="C71" r:id="rId66" xr:uid="{00000000-0004-0000-0100-000041000000}"/>
    <hyperlink ref="C72" r:id="rId67" xr:uid="{00000000-0004-0000-0100-000042000000}"/>
    <hyperlink ref="C73" r:id="rId68" xr:uid="{00000000-0004-0000-0100-000043000000}"/>
    <hyperlink ref="C74" r:id="rId69" xr:uid="{00000000-0004-0000-0100-000044000000}"/>
    <hyperlink ref="C75" r:id="rId70" xr:uid="{00000000-0004-0000-0100-000045000000}"/>
    <hyperlink ref="C76" r:id="rId71" xr:uid="{00000000-0004-0000-0100-000046000000}"/>
    <hyperlink ref="C77" r:id="rId72" xr:uid="{00000000-0004-0000-0100-000047000000}"/>
    <hyperlink ref="C78" r:id="rId73" xr:uid="{00000000-0004-0000-0100-000048000000}"/>
    <hyperlink ref="C79" r:id="rId74" xr:uid="{00000000-0004-0000-0100-000049000000}"/>
    <hyperlink ref="C80" r:id="rId75" xr:uid="{00000000-0004-0000-0100-00004A000000}"/>
    <hyperlink ref="C82" r:id="rId76" xr:uid="{00000000-0004-0000-0100-00004B000000}"/>
    <hyperlink ref="C84" r:id="rId77" xr:uid="{00000000-0004-0000-0100-00004C000000}"/>
    <hyperlink ref="C85" r:id="rId78" xr:uid="{00000000-0004-0000-0100-00004D000000}"/>
    <hyperlink ref="C86" r:id="rId79" xr:uid="{00000000-0004-0000-0100-00004E000000}"/>
    <hyperlink ref="C87" r:id="rId80" xr:uid="{00000000-0004-0000-0100-00004F000000}"/>
    <hyperlink ref="C88" r:id="rId81" xr:uid="{00000000-0004-0000-0100-000050000000}"/>
    <hyperlink ref="C89" r:id="rId82" xr:uid="{00000000-0004-0000-0100-000051000000}"/>
    <hyperlink ref="C90" r:id="rId83" xr:uid="{00000000-0004-0000-0100-000052000000}"/>
    <hyperlink ref="C91" r:id="rId84" xr:uid="{00000000-0004-0000-0100-000053000000}"/>
    <hyperlink ref="C92" r:id="rId85" xr:uid="{00000000-0004-0000-0100-000054000000}"/>
    <hyperlink ref="C93" r:id="rId86" xr:uid="{00000000-0004-0000-0100-000055000000}"/>
    <hyperlink ref="C94" r:id="rId87" xr:uid="{00000000-0004-0000-0100-000056000000}"/>
    <hyperlink ref="C95" r:id="rId88" xr:uid="{00000000-0004-0000-0100-000057000000}"/>
    <hyperlink ref="C97" r:id="rId89" xr:uid="{00000000-0004-0000-0100-000058000000}"/>
    <hyperlink ref="C98" r:id="rId90" xr:uid="{00000000-0004-0000-0100-000059000000}"/>
    <hyperlink ref="C99" r:id="rId91" xr:uid="{00000000-0004-0000-0100-00005A000000}"/>
    <hyperlink ref="C100" r:id="rId92" xr:uid="{00000000-0004-0000-0100-00005B000000}"/>
    <hyperlink ref="C101" r:id="rId93" xr:uid="{00000000-0004-0000-0100-00005C000000}"/>
    <hyperlink ref="C102" r:id="rId94" xr:uid="{00000000-0004-0000-0100-00005D000000}"/>
    <hyperlink ref="C103" r:id="rId95" xr:uid="{00000000-0004-0000-0100-00005E000000}"/>
    <hyperlink ref="C105" r:id="rId96" xr:uid="{00000000-0004-0000-0100-00005F000000}"/>
    <hyperlink ref="C107" r:id="rId97" xr:uid="{00000000-0004-0000-0100-000060000000}"/>
    <hyperlink ref="C108" r:id="rId98" xr:uid="{00000000-0004-0000-0100-000061000000}"/>
    <hyperlink ref="C109" r:id="rId99" xr:uid="{00000000-0004-0000-0100-000062000000}"/>
    <hyperlink ref="C110" r:id="rId100" xr:uid="{00000000-0004-0000-0100-000063000000}"/>
    <hyperlink ref="C111" r:id="rId101" xr:uid="{00000000-0004-0000-0100-00006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8" customWidth="1"/>
    <col min="2" max="2" width="34" customWidth="1"/>
    <col min="3" max="3" width="11" customWidth="1"/>
    <col min="4" max="4" width="34" customWidth="1"/>
    <col min="5" max="5" width="11" customWidth="1"/>
    <col min="6" max="6" width="34" customWidth="1"/>
    <col min="7" max="7" width="11" customWidth="1"/>
    <col min="8" max="8" width="34" customWidth="1"/>
    <col min="9" max="9" width="11" customWidth="1"/>
    <col min="10" max="11" width="10" customWidth="1"/>
    <col min="12" max="12" width="9" customWidth="1"/>
    <col min="13" max="13" width="26" customWidth="1"/>
    <col min="14" max="14" width="11" customWidth="1"/>
    <col min="15" max="15" width="9" customWidth="1"/>
  </cols>
  <sheetData>
    <row r="1" spans="1:15" ht="30" customHeight="1" x14ac:dyDescent="0.25">
      <c r="A1" s="24" t="s">
        <v>0</v>
      </c>
      <c r="B1" s="24" t="s">
        <v>6</v>
      </c>
      <c r="C1" s="24" t="s">
        <v>251</v>
      </c>
      <c r="D1" s="24" t="s">
        <v>10</v>
      </c>
      <c r="E1" s="24" t="s">
        <v>251</v>
      </c>
      <c r="F1" s="24" t="s">
        <v>13</v>
      </c>
      <c r="G1" s="24" t="s">
        <v>251</v>
      </c>
      <c r="H1" s="24" t="s">
        <v>16</v>
      </c>
      <c r="I1" s="24" t="s">
        <v>251</v>
      </c>
      <c r="J1" s="24" t="s">
        <v>252</v>
      </c>
      <c r="K1" s="24" t="s">
        <v>253</v>
      </c>
      <c r="L1" s="24" t="s">
        <v>254</v>
      </c>
      <c r="M1" s="24" t="s">
        <v>255</v>
      </c>
      <c r="N1" s="24" t="s">
        <v>256</v>
      </c>
      <c r="O1" s="24" t="s">
        <v>257</v>
      </c>
    </row>
    <row r="2" spans="1:15" x14ac:dyDescent="0.25">
      <c r="A2" s="25">
        <f>'Por secao'!A2</f>
        <v>511</v>
      </c>
      <c r="B2" s="25" t="str">
        <f>IFERROR(INDEX(Mesarios!$D$2:$D$112,MATCH($A2&amp;"|"&amp;B$1,Mesarios!$F$2:$F$112,0)),"VAGO")</f>
        <v>FELIPE PEREIRA DE SOUZA GUSTAVO</v>
      </c>
      <c r="C2" s="26" t="str">
        <f>IFERROR(INDEX(Mesarios!$E$2:$E$112,MATCH($A2&amp;"|"&amp;B$1,Mesarios!$F$2:$F$112,0)),"VAGO")</f>
        <v>SIM</v>
      </c>
      <c r="D2" s="25" t="str">
        <f>IFERROR(INDEX(Mesarios!$D$2:$D$112,MATCH($A2&amp;"|"&amp;D$1,Mesarios!$F$2:$F$112,0)),"VAGO")</f>
        <v>ERIC DA SILVA MEDEIROS</v>
      </c>
      <c r="E2" s="26" t="str">
        <f>IFERROR(INDEX(Mesarios!$E$2:$E$112,MATCH($A2&amp;"|"&amp;D$1,Mesarios!$F$2:$F$112,0)),"VAGO")</f>
        <v>SIM</v>
      </c>
      <c r="F2" s="25" t="str">
        <f>IFERROR(INDEX(Mesarios!$D$2:$D$112,MATCH($A2&amp;"|"&amp;F$1,Mesarios!$F$2:$F$112,0)),"VAGO")</f>
        <v>LUDMILA MAIA MACIEL</v>
      </c>
      <c r="G2" s="26" t="str">
        <f>IFERROR(INDEX(Mesarios!$E$2:$E$112,MATCH($A2&amp;"|"&amp;F$1,Mesarios!$F$2:$F$112,0)),"VAGO")</f>
        <v>SIM</v>
      </c>
      <c r="H2" s="25" t="str">
        <f>IFERROR(INDEX(Mesarios!$D$2:$D$112,MATCH($A2&amp;"|"&amp;H$1,Mesarios!$F$2:$F$112,0)),"VAGO")</f>
        <v>BEATRIZ CARACANHA BERTOCCO</v>
      </c>
      <c r="I2" s="26" t="str">
        <f>IFERROR(INDEX(Mesarios!$E$2:$E$112,MATCH($A2&amp;"|"&amp;H$1,Mesarios!$F$2:$F$112,0)),"VAGO")</f>
        <v>SIM</v>
      </c>
      <c r="J2" s="26">
        <f t="shared" ref="J2:J29" si="0">COUNTIF(C2:I2,"SIM")</f>
        <v>4</v>
      </c>
      <c r="K2" s="26">
        <f t="shared" ref="K2:K29" si="1">COUNTIF(C2:I2,"NAO")</f>
        <v>0</v>
      </c>
      <c r="L2" s="26">
        <f t="shared" ref="L2:L29" si="2">COUNTIF(C2:I2,"0006/2026")+COUNTIF(C2:I2,"-")</f>
        <v>0</v>
      </c>
      <c r="M2" s="25" t="str">
        <f t="shared" ref="M2:M29" si="3">IF(J2&gt;=4,"Mesa completa",IF(J2=3,"Falta 1","ATENÇÃO: só "&amp;J2&amp;" presentes"))</f>
        <v>Mesa completa</v>
      </c>
      <c r="N2" s="25">
        <f>'Por secao'!N2</f>
        <v>375</v>
      </c>
      <c r="O2" s="26" t="str">
        <f>'Por secao'!O2</f>
        <v>Baixo</v>
      </c>
    </row>
    <row r="3" spans="1:15" x14ac:dyDescent="0.25">
      <c r="A3" s="25">
        <f>'Por secao'!A3</f>
        <v>512</v>
      </c>
      <c r="B3" s="25" t="str">
        <f>IFERROR(INDEX(Mesarios!$D$2:$D$112,MATCH($A3&amp;"|"&amp;B$1,Mesarios!$F$2:$F$112,0)),"VAGO")</f>
        <v>ANA CLAUDIA MAZUROK</v>
      </c>
      <c r="C3" s="26" t="str">
        <f>IFERROR(INDEX(Mesarios!$E$2:$E$112,MATCH($A3&amp;"|"&amp;B$1,Mesarios!$F$2:$F$112,0)),"VAGO")</f>
        <v>NAO</v>
      </c>
      <c r="D3" s="25" t="str">
        <f>IFERROR(INDEX(Mesarios!$D$2:$D$112,MATCH($A3&amp;"|"&amp;D$1,Mesarios!$F$2:$F$112,0)),"VAGO")</f>
        <v>CAIO CESAR ROSSITER</v>
      </c>
      <c r="E3" s="26" t="str">
        <f>IFERROR(INDEX(Mesarios!$E$2:$E$112,MATCH($A3&amp;"|"&amp;D$1,Mesarios!$F$2:$F$112,0)),"VAGO")</f>
        <v>SIM</v>
      </c>
      <c r="F3" s="25" t="str">
        <f>IFERROR(INDEX(Mesarios!$D$2:$D$112,MATCH($A3&amp;"|"&amp;F$1,Mesarios!$F$2:$F$112,0)),"VAGO")</f>
        <v>CAMILA MOURA MARTINS</v>
      </c>
      <c r="G3" s="26" t="str">
        <f>IFERROR(INDEX(Mesarios!$E$2:$E$112,MATCH($A3&amp;"|"&amp;F$1,Mesarios!$F$2:$F$112,0)),"VAGO")</f>
        <v>SIM</v>
      </c>
      <c r="H3" s="25" t="str">
        <f>IFERROR(INDEX(Mesarios!$D$2:$D$112,MATCH($A3&amp;"|"&amp;H$1,Mesarios!$F$2:$F$112,0)),"VAGO")</f>
        <v>THAISA BERNARDES BUENO FELIX</v>
      </c>
      <c r="I3" s="26" t="str">
        <f>IFERROR(INDEX(Mesarios!$E$2:$E$112,MATCH($A3&amp;"|"&amp;H$1,Mesarios!$F$2:$F$112,0)),"VAGO")</f>
        <v>SIM</v>
      </c>
      <c r="J3" s="26">
        <f t="shared" si="0"/>
        <v>3</v>
      </c>
      <c r="K3" s="26">
        <f t="shared" si="1"/>
        <v>1</v>
      </c>
      <c r="L3" s="26">
        <f t="shared" si="2"/>
        <v>0</v>
      </c>
      <c r="M3" s="25" t="str">
        <f t="shared" si="3"/>
        <v>Falta 1</v>
      </c>
      <c r="N3" s="25">
        <f>'Por secao'!N3</f>
        <v>355</v>
      </c>
      <c r="O3" s="26" t="str">
        <f>'Por secao'!O3</f>
        <v>Baixo</v>
      </c>
    </row>
    <row r="4" spans="1:15" x14ac:dyDescent="0.25">
      <c r="A4" s="25">
        <f>'Por secao'!A4</f>
        <v>513</v>
      </c>
      <c r="B4" s="25" t="str">
        <f>IFERROR(INDEX(Mesarios!$D$2:$D$112,MATCH($A4&amp;"|"&amp;B$1,Mesarios!$F$2:$F$112,0)),"VAGO")</f>
        <v>BIANCA ARAGONE RODRIGUES GOULART</v>
      </c>
      <c r="C4" s="26" t="str">
        <f>IFERROR(INDEX(Mesarios!$E$2:$E$112,MATCH($A4&amp;"|"&amp;B$1,Mesarios!$F$2:$F$112,0)),"VAGO")</f>
        <v>SIM</v>
      </c>
      <c r="D4" s="25" t="str">
        <f>IFERROR(INDEX(Mesarios!$D$2:$D$112,MATCH($A4&amp;"|"&amp;D$1,Mesarios!$F$2:$F$112,0)),"VAGO")</f>
        <v>LUIZ HENRIQUE DE SOUSA SMANIA</v>
      </c>
      <c r="E4" s="26" t="str">
        <f>IFERROR(INDEX(Mesarios!$E$2:$E$112,MATCH($A4&amp;"|"&amp;D$1,Mesarios!$F$2:$F$112,0)),"VAGO")</f>
        <v>SIM</v>
      </c>
      <c r="F4" s="25" t="str">
        <f>IFERROR(INDEX(Mesarios!$D$2:$D$112,MATCH($A4&amp;"|"&amp;F$1,Mesarios!$F$2:$F$112,0)),"VAGO")</f>
        <v>ISABELA FERNANDES BATTISTI PETRIS</v>
      </c>
      <c r="G4" s="26" t="str">
        <f>IFERROR(INDEX(Mesarios!$E$2:$E$112,MATCH($A4&amp;"|"&amp;F$1,Mesarios!$F$2:$F$112,0)),"VAGO")</f>
        <v>SIM</v>
      </c>
      <c r="H4" s="25" t="str">
        <f>IFERROR(INDEX(Mesarios!$D$2:$D$112,MATCH($A4&amp;"|"&amp;H$1,Mesarios!$F$2:$F$112,0)),"VAGO")</f>
        <v>ALINE BARROS DE LIRA</v>
      </c>
      <c r="I4" s="26" t="str">
        <f>IFERROR(INDEX(Mesarios!$E$2:$E$112,MATCH($A4&amp;"|"&amp;H$1,Mesarios!$F$2:$F$112,0)),"VAGO")</f>
        <v>NAO</v>
      </c>
      <c r="J4" s="26">
        <f t="shared" si="0"/>
        <v>3</v>
      </c>
      <c r="K4" s="26">
        <f t="shared" si="1"/>
        <v>1</v>
      </c>
      <c r="L4" s="26">
        <f t="shared" si="2"/>
        <v>0</v>
      </c>
      <c r="M4" s="25" t="str">
        <f t="shared" si="3"/>
        <v>Falta 1</v>
      </c>
      <c r="N4" s="25">
        <f>'Por secao'!N4</f>
        <v>351</v>
      </c>
      <c r="O4" s="26" t="str">
        <f>'Por secao'!O4</f>
        <v>Baixo</v>
      </c>
    </row>
    <row r="5" spans="1:15" x14ac:dyDescent="0.25">
      <c r="A5" s="25">
        <f>'Por secao'!A5</f>
        <v>517</v>
      </c>
      <c r="B5" s="25" t="str">
        <f>IFERROR(INDEX(Mesarios!$D$2:$D$112,MATCH($A5&amp;"|"&amp;B$1,Mesarios!$F$2:$F$112,0)),"VAGO")</f>
        <v>DAIANE LEAL GOMES</v>
      </c>
      <c r="C5" s="26" t="str">
        <f>IFERROR(INDEX(Mesarios!$E$2:$E$112,MATCH($A5&amp;"|"&amp;B$1,Mesarios!$F$2:$F$112,0)),"VAGO")</f>
        <v>SIM</v>
      </c>
      <c r="D5" s="25" t="str">
        <f>IFERROR(INDEX(Mesarios!$D$2:$D$112,MATCH($A5&amp;"|"&amp;D$1,Mesarios!$F$2:$F$112,0)),"VAGO")</f>
        <v>CINTHIA RODRIGUES DE ALMEIDA</v>
      </c>
      <c r="E5" s="26" t="str">
        <f>IFERROR(INDEX(Mesarios!$E$2:$E$112,MATCH($A5&amp;"|"&amp;D$1,Mesarios!$F$2:$F$112,0)),"VAGO")</f>
        <v>SIM</v>
      </c>
      <c r="F5" s="25" t="str">
        <f>IFERROR(INDEX(Mesarios!$D$2:$D$112,MATCH($A5&amp;"|"&amp;F$1,Mesarios!$F$2:$F$112,0)),"VAGO")</f>
        <v>RAFAEL DRUMMOND RODRIGUES</v>
      </c>
      <c r="G5" s="26" t="str">
        <f>IFERROR(INDEX(Mesarios!$E$2:$E$112,MATCH($A5&amp;"|"&amp;F$1,Mesarios!$F$2:$F$112,0)),"VAGO")</f>
        <v>SIM</v>
      </c>
      <c r="H5" s="25" t="str">
        <f>IFERROR(INDEX(Mesarios!$D$2:$D$112,MATCH($A5&amp;"|"&amp;H$1,Mesarios!$F$2:$F$112,0)),"VAGO")</f>
        <v>MARIANA MACIEL DOS SANTOS SOUZA</v>
      </c>
      <c r="I5" s="26" t="str">
        <f>IFERROR(INDEX(Mesarios!$E$2:$E$112,MATCH($A5&amp;"|"&amp;H$1,Mesarios!$F$2:$F$112,0)),"VAGO")</f>
        <v>SIM</v>
      </c>
      <c r="J5" s="26">
        <f t="shared" si="0"/>
        <v>4</v>
      </c>
      <c r="K5" s="26">
        <f t="shared" si="1"/>
        <v>0</v>
      </c>
      <c r="L5" s="26">
        <f t="shared" si="2"/>
        <v>0</v>
      </c>
      <c r="M5" s="25" t="str">
        <f t="shared" si="3"/>
        <v>Mesa completa</v>
      </c>
      <c r="N5" s="25">
        <f>'Por secao'!N5</f>
        <v>348</v>
      </c>
      <c r="O5" s="26" t="str">
        <f>'Por secao'!O5</f>
        <v>Baixo</v>
      </c>
    </row>
    <row r="6" spans="1:15" x14ac:dyDescent="0.25">
      <c r="A6" s="25">
        <f>'Por secao'!A6</f>
        <v>1160</v>
      </c>
      <c r="B6" s="25" t="str">
        <f>IFERROR(INDEX(Mesarios!$D$2:$D$112,MATCH($A6&amp;"|"&amp;B$1,Mesarios!$F$2:$F$112,0)),"VAGO")</f>
        <v>PAMELA NASCIMENTO DA SILVA</v>
      </c>
      <c r="C6" s="26" t="str">
        <f>IFERROR(INDEX(Mesarios!$E$2:$E$112,MATCH($A6&amp;"|"&amp;B$1,Mesarios!$F$2:$F$112,0)),"VAGO")</f>
        <v>0006/2026</v>
      </c>
      <c r="D6" s="25" t="str">
        <f>IFERROR(INDEX(Mesarios!$D$2:$D$112,MATCH($A6&amp;"|"&amp;D$1,Mesarios!$F$2:$F$112,0)),"VAGO")</f>
        <v>ARTHUR GRIZ FERREIRA</v>
      </c>
      <c r="E6" s="26" t="str">
        <f>IFERROR(INDEX(Mesarios!$E$2:$E$112,MATCH($A6&amp;"|"&amp;D$1,Mesarios!$F$2:$F$112,0)),"VAGO")</f>
        <v>0006/2026</v>
      </c>
      <c r="F6" s="25" t="str">
        <f>IFERROR(INDEX(Mesarios!$D$2:$D$112,MATCH($A6&amp;"|"&amp;F$1,Mesarios!$F$2:$F$112,0)),"VAGO")</f>
        <v>CRISLAINE DE SOUZA ALMEIDA</v>
      </c>
      <c r="G6" s="26" t="str">
        <f>IFERROR(INDEX(Mesarios!$E$2:$E$112,MATCH($A6&amp;"|"&amp;F$1,Mesarios!$F$2:$F$112,0)),"VAGO")</f>
        <v>0006/2026</v>
      </c>
      <c r="H6" s="25" t="str">
        <f>IFERROR(INDEX(Mesarios!$D$2:$D$112,MATCH($A6&amp;"|"&amp;H$1,Mesarios!$F$2:$F$112,0)),"VAGO")</f>
        <v>CINTIA DOS SANTOS</v>
      </c>
      <c r="I6" s="26" t="str">
        <f>IFERROR(INDEX(Mesarios!$E$2:$E$112,MATCH($A6&amp;"|"&amp;H$1,Mesarios!$F$2:$F$112,0)),"VAGO")</f>
        <v>0006/2026</v>
      </c>
      <c r="J6" s="26">
        <f t="shared" si="0"/>
        <v>0</v>
      </c>
      <c r="K6" s="26">
        <f t="shared" si="1"/>
        <v>0</v>
      </c>
      <c r="L6" s="26">
        <f t="shared" si="2"/>
        <v>4</v>
      </c>
      <c r="M6" s="25" t="str">
        <f t="shared" si="3"/>
        <v>ATENÇÃO: só 0 presentes</v>
      </c>
      <c r="N6" s="25">
        <f>'Por secao'!N6</f>
        <v>328</v>
      </c>
      <c r="O6" s="26" t="str">
        <f>'Por secao'!O6</f>
        <v>Baixo</v>
      </c>
    </row>
    <row r="7" spans="1:15" x14ac:dyDescent="0.25">
      <c r="A7" s="25">
        <f>'Por secao'!A7</f>
        <v>1352</v>
      </c>
      <c r="B7" s="25" t="str">
        <f>IFERROR(INDEX(Mesarios!$D$2:$D$112,MATCH($A7&amp;"|"&amp;B$1,Mesarios!$F$2:$F$112,0)),"VAGO")</f>
        <v>NAYARA GIROTO MENDES</v>
      </c>
      <c r="C7" s="26" t="str">
        <f>IFERROR(INDEX(Mesarios!$E$2:$E$112,MATCH($A7&amp;"|"&amp;B$1,Mesarios!$F$2:$F$112,0)),"VAGO")</f>
        <v>SIM</v>
      </c>
      <c r="D7" s="25" t="str">
        <f>IFERROR(INDEX(Mesarios!$D$2:$D$112,MATCH($A7&amp;"|"&amp;D$1,Mesarios!$F$2:$F$112,0)),"VAGO")</f>
        <v>JESSICA DE OLIVEIRA</v>
      </c>
      <c r="E7" s="26" t="str">
        <f>IFERROR(INDEX(Mesarios!$E$2:$E$112,MATCH($A7&amp;"|"&amp;D$1,Mesarios!$F$2:$F$112,0)),"VAGO")</f>
        <v>SIM</v>
      </c>
      <c r="F7" s="25" t="str">
        <f>IFERROR(INDEX(Mesarios!$D$2:$D$112,MATCH($A7&amp;"|"&amp;F$1,Mesarios!$F$2:$F$112,0)),"VAGO")</f>
        <v>ANA PAULA DA SILVA ELIAS</v>
      </c>
      <c r="G7" s="26" t="str">
        <f>IFERROR(INDEX(Mesarios!$E$2:$E$112,MATCH($A7&amp;"|"&amp;F$1,Mesarios!$F$2:$F$112,0)),"VAGO")</f>
        <v>SIM</v>
      </c>
      <c r="H7" s="25" t="str">
        <f>IFERROR(INDEX(Mesarios!$D$2:$D$112,MATCH($A7&amp;"|"&amp;H$1,Mesarios!$F$2:$F$112,0)),"VAGO")</f>
        <v>DENER AUGUSTO SALES MACHADO</v>
      </c>
      <c r="I7" s="26" t="str">
        <f>IFERROR(INDEX(Mesarios!$E$2:$E$112,MATCH($A7&amp;"|"&amp;H$1,Mesarios!$F$2:$F$112,0)),"VAGO")</f>
        <v>SIM</v>
      </c>
      <c r="J7" s="26">
        <f t="shared" si="0"/>
        <v>4</v>
      </c>
      <c r="K7" s="26">
        <f t="shared" si="1"/>
        <v>0</v>
      </c>
      <c r="L7" s="26">
        <f t="shared" si="2"/>
        <v>0</v>
      </c>
      <c r="M7" s="25" t="str">
        <f t="shared" si="3"/>
        <v>Mesa completa</v>
      </c>
      <c r="N7" s="25">
        <f>'Por secao'!N7</f>
        <v>328</v>
      </c>
      <c r="O7" s="26" t="str">
        <f>'Por secao'!O7</f>
        <v>Baixo</v>
      </c>
    </row>
    <row r="8" spans="1:15" x14ac:dyDescent="0.25">
      <c r="A8" s="25">
        <f>'Por secao'!A8</f>
        <v>3054</v>
      </c>
      <c r="B8" s="25" t="str">
        <f>IFERROR(INDEX(Mesarios!$D$2:$D$112,MATCH($A8&amp;"|"&amp;B$1,Mesarios!$F$2:$F$112,0)),"VAGO")</f>
        <v>FABIOLA CRISTIANE DA SILVA MALTA</v>
      </c>
      <c r="C8" s="26" t="str">
        <f>IFERROR(INDEX(Mesarios!$E$2:$E$112,MATCH($A8&amp;"|"&amp;B$1,Mesarios!$F$2:$F$112,0)),"VAGO")</f>
        <v>SIM</v>
      </c>
      <c r="D8" s="25" t="str">
        <f>IFERROR(INDEX(Mesarios!$D$2:$D$112,MATCH($A8&amp;"|"&amp;D$1,Mesarios!$F$2:$F$112,0)),"VAGO")</f>
        <v>WELLINGTON DOS SANTOS</v>
      </c>
      <c r="E8" s="26" t="str">
        <f>IFERROR(INDEX(Mesarios!$E$2:$E$112,MATCH($A8&amp;"|"&amp;D$1,Mesarios!$F$2:$F$112,0)),"VAGO")</f>
        <v>SIM</v>
      </c>
      <c r="F8" s="25" t="str">
        <f>IFERROR(INDEX(Mesarios!$D$2:$D$112,MATCH($A8&amp;"|"&amp;F$1,Mesarios!$F$2:$F$112,0)),"VAGO")</f>
        <v>EDINEIA DE ALMEIDA GOMES</v>
      </c>
      <c r="G8" s="26" t="str">
        <f>IFERROR(INDEX(Mesarios!$E$2:$E$112,MATCH($A8&amp;"|"&amp;F$1,Mesarios!$F$2:$F$112,0)),"VAGO")</f>
        <v>NAO</v>
      </c>
      <c r="H8" s="25" t="str">
        <f>IFERROR(INDEX(Mesarios!$D$2:$D$112,MATCH($A8&amp;"|"&amp;H$1,Mesarios!$F$2:$F$112,0)),"VAGO")</f>
        <v>GABRIEL SOARES DE CARVALHO</v>
      </c>
      <c r="I8" s="26" t="str">
        <f>IFERROR(INDEX(Mesarios!$E$2:$E$112,MATCH($A8&amp;"|"&amp;H$1,Mesarios!$F$2:$F$112,0)),"VAGO")</f>
        <v>NAO</v>
      </c>
      <c r="J8" s="26">
        <f t="shared" si="0"/>
        <v>2</v>
      </c>
      <c r="K8" s="26">
        <f t="shared" si="1"/>
        <v>2</v>
      </c>
      <c r="L8" s="26">
        <f t="shared" si="2"/>
        <v>0</v>
      </c>
      <c r="M8" s="25" t="str">
        <f t="shared" si="3"/>
        <v>ATENÇÃO: só 2 presentes</v>
      </c>
      <c r="N8" s="25">
        <f>'Por secao'!N8</f>
        <v>325</v>
      </c>
      <c r="O8" s="26" t="str">
        <f>'Por secao'!O8</f>
        <v>Baixo</v>
      </c>
    </row>
    <row r="9" spans="1:15" x14ac:dyDescent="0.25">
      <c r="A9" s="25">
        <f>'Por secao'!A9</f>
        <v>3078</v>
      </c>
      <c r="B9" s="25" t="str">
        <f>IFERROR(INDEX(Mesarios!$D$2:$D$112,MATCH($A9&amp;"|"&amp;B$1,Mesarios!$F$2:$F$112,0)),"VAGO")</f>
        <v>TULIO CARLOS DE MOURA NEVES</v>
      </c>
      <c r="C9" s="26" t="str">
        <f>IFERROR(INDEX(Mesarios!$E$2:$E$112,MATCH($A9&amp;"|"&amp;B$1,Mesarios!$F$2:$F$112,0)),"VAGO")</f>
        <v>SIM</v>
      </c>
      <c r="D9" s="25" t="str">
        <f>IFERROR(INDEX(Mesarios!$D$2:$D$112,MATCH($A9&amp;"|"&amp;D$1,Mesarios!$F$2:$F$112,0)),"VAGO")</f>
        <v>TATIANE CRISTINA FREGNANI</v>
      </c>
      <c r="E9" s="26" t="str">
        <f>IFERROR(INDEX(Mesarios!$E$2:$E$112,MATCH($A9&amp;"|"&amp;D$1,Mesarios!$F$2:$F$112,0)),"VAGO")</f>
        <v>SIM</v>
      </c>
      <c r="F9" s="25" t="str">
        <f>IFERROR(INDEX(Mesarios!$D$2:$D$112,MATCH($A9&amp;"|"&amp;F$1,Mesarios!$F$2:$F$112,0)),"VAGO")</f>
        <v>DANIELA LIMA DE MELO CARETTE</v>
      </c>
      <c r="G9" s="26" t="str">
        <f>IFERROR(INDEX(Mesarios!$E$2:$E$112,MATCH($A9&amp;"|"&amp;F$1,Mesarios!$F$2:$F$112,0)),"VAGO")</f>
        <v>SIM</v>
      </c>
      <c r="H9" s="25" t="str">
        <f>IFERROR(INDEX(Mesarios!$D$2:$D$112,MATCH($A9&amp;"|"&amp;H$1,Mesarios!$F$2:$F$112,0)),"VAGO")</f>
        <v>MATHEUS PASSOS MENDES</v>
      </c>
      <c r="I9" s="26" t="str">
        <f>IFERROR(INDEX(Mesarios!$E$2:$E$112,MATCH($A9&amp;"|"&amp;H$1,Mesarios!$F$2:$F$112,0)),"VAGO")</f>
        <v>SIM</v>
      </c>
      <c r="J9" s="26">
        <f t="shared" si="0"/>
        <v>4</v>
      </c>
      <c r="K9" s="26">
        <f t="shared" si="1"/>
        <v>0</v>
      </c>
      <c r="L9" s="26">
        <f t="shared" si="2"/>
        <v>0</v>
      </c>
      <c r="M9" s="25" t="str">
        <f t="shared" si="3"/>
        <v>Mesa completa</v>
      </c>
      <c r="N9" s="25">
        <f>'Por secao'!N9</f>
        <v>311</v>
      </c>
      <c r="O9" s="26" t="str">
        <f>'Por secao'!O9</f>
        <v>Baixo</v>
      </c>
    </row>
    <row r="10" spans="1:15" x14ac:dyDescent="0.25">
      <c r="A10" s="25">
        <f>'Por secao'!A10</f>
        <v>3108</v>
      </c>
      <c r="B10" s="25" t="str">
        <f>IFERROR(INDEX(Mesarios!$D$2:$D$112,MATCH($A10&amp;"|"&amp;B$1,Mesarios!$F$2:$F$112,0)),"VAGO")</f>
        <v>FERNANDA LIMA HERMANSON CARVALHO LOPES</v>
      </c>
      <c r="C10" s="26" t="str">
        <f>IFERROR(INDEX(Mesarios!$E$2:$E$112,MATCH($A10&amp;"|"&amp;B$1,Mesarios!$F$2:$F$112,0)),"VAGO")</f>
        <v>SIM</v>
      </c>
      <c r="D10" s="25" t="str">
        <f>IFERROR(INDEX(Mesarios!$D$2:$D$112,MATCH($A10&amp;"|"&amp;D$1,Mesarios!$F$2:$F$112,0)),"VAGO")</f>
        <v>DANIEL DOS SANTOS JORGE</v>
      </c>
      <c r="E10" s="26" t="str">
        <f>IFERROR(INDEX(Mesarios!$E$2:$E$112,MATCH($A10&amp;"|"&amp;D$1,Mesarios!$F$2:$F$112,0)),"VAGO")</f>
        <v>SIM</v>
      </c>
      <c r="F10" s="25" t="str">
        <f>IFERROR(INDEX(Mesarios!$D$2:$D$112,MATCH($A10&amp;"|"&amp;F$1,Mesarios!$F$2:$F$112,0)),"VAGO")</f>
        <v>INGRID MACHADO DOS REIS</v>
      </c>
      <c r="G10" s="26" t="str">
        <f>IFERROR(INDEX(Mesarios!$E$2:$E$112,MATCH($A10&amp;"|"&amp;F$1,Mesarios!$F$2:$F$112,0)),"VAGO")</f>
        <v>SIM</v>
      </c>
      <c r="H10" s="25" t="str">
        <f>IFERROR(INDEX(Mesarios!$D$2:$D$112,MATCH($A10&amp;"|"&amp;H$1,Mesarios!$F$2:$F$112,0)),"VAGO")</f>
        <v>DANIELA HADWIG DULLIUS</v>
      </c>
      <c r="I10" s="26" t="str">
        <f>IFERROR(INDEX(Mesarios!$E$2:$E$112,MATCH($A10&amp;"|"&amp;H$1,Mesarios!$F$2:$F$112,0)),"VAGO")</f>
        <v>SIM</v>
      </c>
      <c r="J10" s="26">
        <f t="shared" si="0"/>
        <v>4</v>
      </c>
      <c r="K10" s="26">
        <f t="shared" si="1"/>
        <v>0</v>
      </c>
      <c r="L10" s="26">
        <f t="shared" si="2"/>
        <v>0</v>
      </c>
      <c r="M10" s="25" t="str">
        <f t="shared" si="3"/>
        <v>Mesa completa</v>
      </c>
      <c r="N10" s="25">
        <f>'Por secao'!N10</f>
        <v>467</v>
      </c>
      <c r="O10" s="26" t="str">
        <f>'Por secao'!O10</f>
        <v>Médio</v>
      </c>
    </row>
    <row r="11" spans="1:15" x14ac:dyDescent="0.25">
      <c r="A11" s="25">
        <f>'Por secao'!A11</f>
        <v>3142</v>
      </c>
      <c r="B11" s="25" t="str">
        <f>IFERROR(INDEX(Mesarios!$D$2:$D$112,MATCH($A11&amp;"|"&amp;B$1,Mesarios!$F$2:$F$112,0)),"VAGO")</f>
        <v>BEATRIZ GILLI HADG KARKACHI</v>
      </c>
      <c r="C11" s="26" t="str">
        <f>IFERROR(INDEX(Mesarios!$E$2:$E$112,MATCH($A11&amp;"|"&amp;B$1,Mesarios!$F$2:$F$112,0)),"VAGO")</f>
        <v>SIM</v>
      </c>
      <c r="D11" s="25" t="str">
        <f>IFERROR(INDEX(Mesarios!$D$2:$D$112,MATCH($A11&amp;"|"&amp;D$1,Mesarios!$F$2:$F$112,0)),"VAGO")</f>
        <v>ANABELLA ALVES DE CASTRO</v>
      </c>
      <c r="E11" s="26" t="str">
        <f>IFERROR(INDEX(Mesarios!$E$2:$E$112,MATCH($A11&amp;"|"&amp;D$1,Mesarios!$F$2:$F$112,0)),"VAGO")</f>
        <v>SIM</v>
      </c>
      <c r="F11" s="25" t="str">
        <f>IFERROR(INDEX(Mesarios!$D$2:$D$112,MATCH($A11&amp;"|"&amp;F$1,Mesarios!$F$2:$F$112,0)),"VAGO")</f>
        <v>JULIANA CASSIA TAVARES DE SOUSA</v>
      </c>
      <c r="G11" s="26" t="str">
        <f>IFERROR(INDEX(Mesarios!$E$2:$E$112,MATCH($A11&amp;"|"&amp;F$1,Mesarios!$F$2:$F$112,0)),"VAGO")</f>
        <v>SIM</v>
      </c>
      <c r="H11" s="25" t="str">
        <f>IFERROR(INDEX(Mesarios!$D$2:$D$112,MATCH($A11&amp;"|"&amp;H$1,Mesarios!$F$2:$F$112,0)),"VAGO")</f>
        <v>LINCOLN CUBAS GUEDES</v>
      </c>
      <c r="I11" s="26" t="str">
        <f>IFERROR(INDEX(Mesarios!$E$2:$E$112,MATCH($A11&amp;"|"&amp;H$1,Mesarios!$F$2:$F$112,0)),"VAGO")</f>
        <v>SIM</v>
      </c>
      <c r="J11" s="26">
        <f t="shared" si="0"/>
        <v>4</v>
      </c>
      <c r="K11" s="26">
        <f t="shared" si="1"/>
        <v>0</v>
      </c>
      <c r="L11" s="26">
        <f t="shared" si="2"/>
        <v>0</v>
      </c>
      <c r="M11" s="25" t="str">
        <f t="shared" si="3"/>
        <v>Mesa completa</v>
      </c>
      <c r="N11" s="25">
        <f>'Por secao'!N11</f>
        <v>466</v>
      </c>
      <c r="O11" s="26" t="str">
        <f>'Por secao'!O11</f>
        <v>Médio</v>
      </c>
    </row>
    <row r="12" spans="1:15" x14ac:dyDescent="0.25">
      <c r="A12" s="25">
        <f>'Por secao'!A12</f>
        <v>3161</v>
      </c>
      <c r="B12" s="25" t="str">
        <f>IFERROR(INDEX(Mesarios!$D$2:$D$112,MATCH($A12&amp;"|"&amp;B$1,Mesarios!$F$2:$F$112,0)),"VAGO")</f>
        <v>MARCELA TIYOKO PASSOS KONDO</v>
      </c>
      <c r="C12" s="26" t="str">
        <f>IFERROR(INDEX(Mesarios!$E$2:$E$112,MATCH($A12&amp;"|"&amp;B$1,Mesarios!$F$2:$F$112,0)),"VAGO")</f>
        <v>NAO</v>
      </c>
      <c r="D12" s="25" t="str">
        <f>IFERROR(INDEX(Mesarios!$D$2:$D$112,MATCH($A12&amp;"|"&amp;D$1,Mesarios!$F$2:$F$112,0)),"VAGO")</f>
        <v>TALITA MORTARI MONTYSUMA</v>
      </c>
      <c r="E12" s="26" t="str">
        <f>IFERROR(INDEX(Mesarios!$E$2:$E$112,MATCH($A12&amp;"|"&amp;D$1,Mesarios!$F$2:$F$112,0)),"VAGO")</f>
        <v>SIM</v>
      </c>
      <c r="F12" s="25" t="str">
        <f>IFERROR(INDEX(Mesarios!$D$2:$D$112,MATCH($A12&amp;"|"&amp;F$1,Mesarios!$F$2:$F$112,0)),"VAGO")</f>
        <v>NASTASSJA VERONICA LOUSADA GOMES</v>
      </c>
      <c r="G12" s="26" t="str">
        <f>IFERROR(INDEX(Mesarios!$E$2:$E$112,MATCH($A12&amp;"|"&amp;F$1,Mesarios!$F$2:$F$112,0)),"VAGO")</f>
        <v>SIM</v>
      </c>
      <c r="H12" s="25" t="str">
        <f>IFERROR(INDEX(Mesarios!$D$2:$D$112,MATCH($A12&amp;"|"&amp;H$1,Mesarios!$F$2:$F$112,0)),"VAGO")</f>
        <v>ANTHONY EDWARD DA SILVA AGAPITO</v>
      </c>
      <c r="I12" s="26" t="str">
        <f>IFERROR(INDEX(Mesarios!$E$2:$E$112,MATCH($A12&amp;"|"&amp;H$1,Mesarios!$F$2:$F$112,0)),"VAGO")</f>
        <v>SIM</v>
      </c>
      <c r="J12" s="26">
        <f t="shared" si="0"/>
        <v>3</v>
      </c>
      <c r="K12" s="26">
        <f t="shared" si="1"/>
        <v>1</v>
      </c>
      <c r="L12" s="26">
        <f t="shared" si="2"/>
        <v>0</v>
      </c>
      <c r="M12" s="25" t="str">
        <f t="shared" si="3"/>
        <v>Falta 1</v>
      </c>
      <c r="N12" s="25">
        <f>'Por secao'!N12</f>
        <v>504</v>
      </c>
      <c r="O12" s="26" t="str">
        <f>'Por secao'!O12</f>
        <v>Médio</v>
      </c>
    </row>
    <row r="13" spans="1:15" x14ac:dyDescent="0.25">
      <c r="A13" s="25">
        <f>'Por secao'!A13</f>
        <v>3179</v>
      </c>
      <c r="B13" s="25" t="str">
        <f>IFERROR(INDEX(Mesarios!$D$2:$D$112,MATCH($A13&amp;"|"&amp;B$1,Mesarios!$F$2:$F$112,0)),"VAGO")</f>
        <v>ELTON APARECIDO ROCHA</v>
      </c>
      <c r="C13" s="26" t="str">
        <f>IFERROR(INDEX(Mesarios!$E$2:$E$112,MATCH($A13&amp;"|"&amp;B$1,Mesarios!$F$2:$F$112,0)),"VAGO")</f>
        <v>SIM</v>
      </c>
      <c r="D13" s="25" t="str">
        <f>IFERROR(INDEX(Mesarios!$D$2:$D$112,MATCH($A13&amp;"|"&amp;D$1,Mesarios!$F$2:$F$112,0)),"VAGO")</f>
        <v>ANDERSON SILVERIO DE OLIVEIRA</v>
      </c>
      <c r="E13" s="26" t="str">
        <f>IFERROR(INDEX(Mesarios!$E$2:$E$112,MATCH($A13&amp;"|"&amp;D$1,Mesarios!$F$2:$F$112,0)),"VAGO")</f>
        <v>NAO</v>
      </c>
      <c r="F13" s="25" t="str">
        <f>IFERROR(INDEX(Mesarios!$D$2:$D$112,MATCH($A13&amp;"|"&amp;F$1,Mesarios!$F$2:$F$112,0)),"VAGO")</f>
        <v>JUSSARA VENEZA SOARES</v>
      </c>
      <c r="G13" s="26" t="str">
        <f>IFERROR(INDEX(Mesarios!$E$2:$E$112,MATCH($A13&amp;"|"&amp;F$1,Mesarios!$F$2:$F$112,0)),"VAGO")</f>
        <v>NAO</v>
      </c>
      <c r="H13" s="25" t="str">
        <f>IFERROR(INDEX(Mesarios!$D$2:$D$112,MATCH($A13&amp;"|"&amp;H$1,Mesarios!$F$2:$F$112,0)),"VAGO")</f>
        <v>TAYNA STETELI PERON LOPES SILVA</v>
      </c>
      <c r="I13" s="26" t="str">
        <f>IFERROR(INDEX(Mesarios!$E$2:$E$112,MATCH($A13&amp;"|"&amp;H$1,Mesarios!$F$2:$F$112,0)),"VAGO")</f>
        <v>SIM</v>
      </c>
      <c r="J13" s="26">
        <f t="shared" si="0"/>
        <v>2</v>
      </c>
      <c r="K13" s="26">
        <f t="shared" si="1"/>
        <v>2</v>
      </c>
      <c r="L13" s="26">
        <f t="shared" si="2"/>
        <v>0</v>
      </c>
      <c r="M13" s="25" t="str">
        <f t="shared" si="3"/>
        <v>ATENÇÃO: só 2 presentes</v>
      </c>
      <c r="N13" s="25">
        <f>'Por secao'!N13</f>
        <v>423</v>
      </c>
      <c r="O13" s="26" t="str">
        <f>'Por secao'!O13</f>
        <v>Baixo</v>
      </c>
    </row>
    <row r="14" spans="1:15" x14ac:dyDescent="0.25">
      <c r="A14" s="25">
        <f>'Por secao'!A14</f>
        <v>3216</v>
      </c>
      <c r="B14" s="25" t="str">
        <f>IFERROR(INDEX(Mesarios!$D$2:$D$112,MATCH($A14&amp;"|"&amp;B$1,Mesarios!$F$2:$F$112,0)),"VAGO")</f>
        <v>JULIANA HENRIQUE CAMPOS SILVA</v>
      </c>
      <c r="C14" s="26" t="str">
        <f>IFERROR(INDEX(Mesarios!$E$2:$E$112,MATCH($A14&amp;"|"&amp;B$1,Mesarios!$F$2:$F$112,0)),"VAGO")</f>
        <v>SIM</v>
      </c>
      <c r="D14" s="25" t="str">
        <f>IFERROR(INDEX(Mesarios!$D$2:$D$112,MATCH($A14&amp;"|"&amp;D$1,Mesarios!$F$2:$F$112,0)),"VAGO")</f>
        <v>LILIANE SILVA DE SOUZA</v>
      </c>
      <c r="E14" s="26" t="str">
        <f>IFERROR(INDEX(Mesarios!$E$2:$E$112,MATCH($A14&amp;"|"&amp;D$1,Mesarios!$F$2:$F$112,0)),"VAGO")</f>
        <v>SIM</v>
      </c>
      <c r="F14" s="25" t="str">
        <f>IFERROR(INDEX(Mesarios!$D$2:$D$112,MATCH($A14&amp;"|"&amp;F$1,Mesarios!$F$2:$F$112,0)),"VAGO")</f>
        <v>JAQUELINE APARECIDA TEIXEIRA</v>
      </c>
      <c r="G14" s="26" t="str">
        <f>IFERROR(INDEX(Mesarios!$E$2:$E$112,MATCH($A14&amp;"|"&amp;F$1,Mesarios!$F$2:$F$112,0)),"VAGO")</f>
        <v>SIM</v>
      </c>
      <c r="H14" s="25" t="str">
        <f>IFERROR(INDEX(Mesarios!$D$2:$D$112,MATCH($A14&amp;"|"&amp;H$1,Mesarios!$F$2:$F$112,0)),"VAGO")</f>
        <v>DIOGO IGLESIAS CORDEIRO</v>
      </c>
      <c r="I14" s="26" t="str">
        <f>IFERROR(INDEX(Mesarios!$E$2:$E$112,MATCH($A14&amp;"|"&amp;H$1,Mesarios!$F$2:$F$112,0)),"VAGO")</f>
        <v>SIM</v>
      </c>
      <c r="J14" s="26">
        <f t="shared" si="0"/>
        <v>4</v>
      </c>
      <c r="K14" s="26">
        <f t="shared" si="1"/>
        <v>0</v>
      </c>
      <c r="L14" s="26">
        <f t="shared" si="2"/>
        <v>0</v>
      </c>
      <c r="M14" s="25" t="str">
        <f t="shared" si="3"/>
        <v>Mesa completa</v>
      </c>
      <c r="N14" s="25">
        <f>'Por secao'!N14</f>
        <v>407</v>
      </c>
      <c r="O14" s="26" t="str">
        <f>'Por secao'!O14</f>
        <v>Baixo</v>
      </c>
    </row>
    <row r="15" spans="1:15" x14ac:dyDescent="0.25">
      <c r="A15" s="25">
        <f>'Por secao'!A15</f>
        <v>3229</v>
      </c>
      <c r="B15" s="25" t="str">
        <f>IFERROR(INDEX(Mesarios!$D$2:$D$112,MATCH($A15&amp;"|"&amp;B$1,Mesarios!$F$2:$F$112,0)),"VAGO")</f>
        <v>EDIONES DINIZ SAVARIS</v>
      </c>
      <c r="C15" s="26" t="str">
        <f>IFERROR(INDEX(Mesarios!$E$2:$E$112,MATCH($A15&amp;"|"&amp;B$1,Mesarios!$F$2:$F$112,0)),"VAGO")</f>
        <v>SIM</v>
      </c>
      <c r="D15" s="25" t="str">
        <f>IFERROR(INDEX(Mesarios!$D$2:$D$112,MATCH($A15&amp;"|"&amp;D$1,Mesarios!$F$2:$F$112,0)),"VAGO")</f>
        <v>FRANCISCA THAMIRES DE SOUSA</v>
      </c>
      <c r="E15" s="26" t="str">
        <f>IFERROR(INDEX(Mesarios!$E$2:$E$112,MATCH($A15&amp;"|"&amp;D$1,Mesarios!$F$2:$F$112,0)),"VAGO")</f>
        <v>SIM</v>
      </c>
      <c r="F15" s="25" t="str">
        <f>IFERROR(INDEX(Mesarios!$D$2:$D$112,MATCH($A15&amp;"|"&amp;F$1,Mesarios!$F$2:$F$112,0)),"VAGO")</f>
        <v>AURORA MADRIL OLIVEIRA MOLINA</v>
      </c>
      <c r="G15" s="26" t="str">
        <f>IFERROR(INDEX(Mesarios!$E$2:$E$112,MATCH($A15&amp;"|"&amp;F$1,Mesarios!$F$2:$F$112,0)),"VAGO")</f>
        <v>SIM</v>
      </c>
      <c r="H15" s="25" t="str">
        <f>IFERROR(INDEX(Mesarios!$D$2:$D$112,MATCH($A15&amp;"|"&amp;H$1,Mesarios!$F$2:$F$112,0)),"VAGO")</f>
        <v>LUCAS FEITOSA CLAUDINO</v>
      </c>
      <c r="I15" s="26" t="str">
        <f>IFERROR(INDEX(Mesarios!$E$2:$E$112,MATCH($A15&amp;"|"&amp;H$1,Mesarios!$F$2:$F$112,0)),"VAGO")</f>
        <v>SIM</v>
      </c>
      <c r="J15" s="26">
        <f t="shared" si="0"/>
        <v>4</v>
      </c>
      <c r="K15" s="26">
        <f t="shared" si="1"/>
        <v>0</v>
      </c>
      <c r="L15" s="26">
        <f t="shared" si="2"/>
        <v>0</v>
      </c>
      <c r="M15" s="25" t="str">
        <f t="shared" si="3"/>
        <v>Mesa completa</v>
      </c>
      <c r="N15" s="25">
        <f>'Por secao'!N15</f>
        <v>405</v>
      </c>
      <c r="O15" s="26" t="str">
        <f>'Por secao'!O15</f>
        <v>Baixo</v>
      </c>
    </row>
    <row r="16" spans="1:15" x14ac:dyDescent="0.25">
      <c r="A16" s="25">
        <f>'Por secao'!A16</f>
        <v>3245</v>
      </c>
      <c r="B16" s="25" t="str">
        <f>IFERROR(INDEX(Mesarios!$D$2:$D$112,MATCH($A16&amp;"|"&amp;B$1,Mesarios!$F$2:$F$112,0)),"VAGO")</f>
        <v>MARIANA JURANDIR GASPARETTI</v>
      </c>
      <c r="C16" s="26" t="str">
        <f>IFERROR(INDEX(Mesarios!$E$2:$E$112,MATCH($A16&amp;"|"&amp;B$1,Mesarios!$F$2:$F$112,0)),"VAGO")</f>
        <v>0006/2026</v>
      </c>
      <c r="D16" s="25" t="str">
        <f>IFERROR(INDEX(Mesarios!$D$2:$D$112,MATCH($A16&amp;"|"&amp;D$1,Mesarios!$F$2:$F$112,0)),"VAGO")</f>
        <v>JOAO GABRIEL BARBOSA CESAR</v>
      </c>
      <c r="E16" s="26" t="str">
        <f>IFERROR(INDEX(Mesarios!$E$2:$E$112,MATCH($A16&amp;"|"&amp;D$1,Mesarios!$F$2:$F$112,0)),"VAGO")</f>
        <v>0006/2026</v>
      </c>
      <c r="F16" s="25" t="str">
        <f>IFERROR(INDEX(Mesarios!$D$2:$D$112,MATCH($A16&amp;"|"&amp;F$1,Mesarios!$F$2:$F$112,0)),"VAGO")</f>
        <v>TALITA DE ARAUJO CARVALHO</v>
      </c>
      <c r="G16" s="26" t="str">
        <f>IFERROR(INDEX(Mesarios!$E$2:$E$112,MATCH($A16&amp;"|"&amp;F$1,Mesarios!$F$2:$F$112,0)),"VAGO")</f>
        <v>0006/2026</v>
      </c>
      <c r="H16" s="25" t="str">
        <f>IFERROR(INDEX(Mesarios!$D$2:$D$112,MATCH($A16&amp;"|"&amp;H$1,Mesarios!$F$2:$F$112,0)),"VAGO")</f>
        <v>VINICIUS ARAUJO DE OLIVEIRA</v>
      </c>
      <c r="I16" s="26" t="str">
        <f>IFERROR(INDEX(Mesarios!$E$2:$E$112,MATCH($A16&amp;"|"&amp;H$1,Mesarios!$F$2:$F$112,0)),"VAGO")</f>
        <v>-</v>
      </c>
      <c r="J16" s="26">
        <f t="shared" si="0"/>
        <v>0</v>
      </c>
      <c r="K16" s="26">
        <f t="shared" si="1"/>
        <v>0</v>
      </c>
      <c r="L16" s="26">
        <f t="shared" si="2"/>
        <v>4</v>
      </c>
      <c r="M16" s="25" t="str">
        <f t="shared" si="3"/>
        <v>ATENÇÃO: só 0 presentes</v>
      </c>
      <c r="N16" s="25">
        <f>'Por secao'!N16</f>
        <v>498</v>
      </c>
      <c r="O16" s="26" t="str">
        <f>'Por secao'!O16</f>
        <v>Médio</v>
      </c>
    </row>
    <row r="17" spans="1:15" x14ac:dyDescent="0.25">
      <c r="A17" s="25">
        <f>'Por secao'!A17</f>
        <v>3302</v>
      </c>
      <c r="B17" s="25" t="str">
        <f>IFERROR(INDEX(Mesarios!$D$2:$D$112,MATCH($A17&amp;"|"&amp;B$1,Mesarios!$F$2:$F$112,0)),"VAGO")</f>
        <v>MARIA LUCIA MORGANTE DE MIRANDA</v>
      </c>
      <c r="C17" s="26" t="str">
        <f>IFERROR(INDEX(Mesarios!$E$2:$E$112,MATCH($A17&amp;"|"&amp;B$1,Mesarios!$F$2:$F$112,0)),"VAGO")</f>
        <v>SIM</v>
      </c>
      <c r="D17" s="25" t="str">
        <f>IFERROR(INDEX(Mesarios!$D$2:$D$112,MATCH($A17&amp;"|"&amp;D$1,Mesarios!$F$2:$F$112,0)),"VAGO")</f>
        <v>SANDRA REGINA CAETANO DE SOUZA</v>
      </c>
      <c r="E17" s="26" t="str">
        <f>IFERROR(INDEX(Mesarios!$E$2:$E$112,MATCH($A17&amp;"|"&amp;D$1,Mesarios!$F$2:$F$112,0)),"VAGO")</f>
        <v>SIM</v>
      </c>
      <c r="F17" s="25" t="str">
        <f>IFERROR(INDEX(Mesarios!$D$2:$D$112,MATCH($A17&amp;"|"&amp;F$1,Mesarios!$F$2:$F$112,0)),"VAGO")</f>
        <v>RENAN WILLIAN DA COSTA</v>
      </c>
      <c r="G17" s="26" t="str">
        <f>IFERROR(INDEX(Mesarios!$E$2:$E$112,MATCH($A17&amp;"|"&amp;F$1,Mesarios!$F$2:$F$112,0)),"VAGO")</f>
        <v>SIM</v>
      </c>
      <c r="H17" s="25" t="str">
        <f>IFERROR(INDEX(Mesarios!$D$2:$D$112,MATCH($A17&amp;"|"&amp;H$1,Mesarios!$F$2:$F$112,0)),"VAGO")</f>
        <v>TIAGO PAIVA DE CARVALHO</v>
      </c>
      <c r="I17" s="26" t="str">
        <f>IFERROR(INDEX(Mesarios!$E$2:$E$112,MATCH($A17&amp;"|"&amp;H$1,Mesarios!$F$2:$F$112,0)),"VAGO")</f>
        <v>SIM</v>
      </c>
      <c r="J17" s="26">
        <f t="shared" si="0"/>
        <v>4</v>
      </c>
      <c r="K17" s="26">
        <f t="shared" si="1"/>
        <v>0</v>
      </c>
      <c r="L17" s="26">
        <f t="shared" si="2"/>
        <v>0</v>
      </c>
      <c r="M17" s="25" t="str">
        <f t="shared" si="3"/>
        <v>Mesa completa</v>
      </c>
      <c r="N17" s="25">
        <f>'Por secao'!N17</f>
        <v>518</v>
      </c>
      <c r="O17" s="26" t="str">
        <f>'Por secao'!O17</f>
        <v>Médio</v>
      </c>
    </row>
    <row r="18" spans="1:15" x14ac:dyDescent="0.25">
      <c r="A18" s="25">
        <f>'Por secao'!A18</f>
        <v>3305</v>
      </c>
      <c r="B18" s="25" t="str">
        <f>IFERROR(INDEX(Mesarios!$D$2:$D$112,MATCH($A18&amp;"|"&amp;B$1,Mesarios!$F$2:$F$112,0)),"VAGO")</f>
        <v>SARA RODRIGUES GOMES</v>
      </c>
      <c r="C18" s="26" t="str">
        <f>IFERROR(INDEX(Mesarios!$E$2:$E$112,MATCH($A18&amp;"|"&amp;B$1,Mesarios!$F$2:$F$112,0)),"VAGO")</f>
        <v>0006/2026</v>
      </c>
      <c r="D18" s="25" t="str">
        <f>IFERROR(INDEX(Mesarios!$D$2:$D$112,MATCH($A18&amp;"|"&amp;D$1,Mesarios!$F$2:$F$112,0)),"VAGO")</f>
        <v>MARIA HELENA DE FRANÇA MELLO ALVES</v>
      </c>
      <c r="E18" s="26" t="str">
        <f>IFERROR(INDEX(Mesarios!$E$2:$E$112,MATCH($A18&amp;"|"&amp;D$1,Mesarios!$F$2:$F$112,0)),"VAGO")</f>
        <v>0006/2026</v>
      </c>
      <c r="F18" s="25" t="str">
        <f>IFERROR(INDEX(Mesarios!$D$2:$D$112,MATCH($A18&amp;"|"&amp;F$1,Mesarios!$F$2:$F$112,0)),"VAGO")</f>
        <v>FÁBIO MARCELO DA TRINDADE</v>
      </c>
      <c r="G18" s="26" t="str">
        <f>IFERROR(INDEX(Mesarios!$E$2:$E$112,MATCH($A18&amp;"|"&amp;F$1,Mesarios!$F$2:$F$112,0)),"VAGO")</f>
        <v>0006/2026</v>
      </c>
      <c r="H18" s="25" t="str">
        <f>IFERROR(INDEX(Mesarios!$D$2:$D$112,MATCH($A18&amp;"|"&amp;H$1,Mesarios!$F$2:$F$112,0)),"VAGO")</f>
        <v>FAGNER DE PAULA ALMEIDA MORAIS</v>
      </c>
      <c r="I18" s="26" t="str">
        <f>IFERROR(INDEX(Mesarios!$E$2:$E$112,MATCH($A18&amp;"|"&amp;H$1,Mesarios!$F$2:$F$112,0)),"VAGO")</f>
        <v>0006/2026</v>
      </c>
      <c r="J18" s="26">
        <f t="shared" si="0"/>
        <v>0</v>
      </c>
      <c r="K18" s="26">
        <f t="shared" si="1"/>
        <v>0</v>
      </c>
      <c r="L18" s="26">
        <f t="shared" si="2"/>
        <v>4</v>
      </c>
      <c r="M18" s="25" t="str">
        <f t="shared" si="3"/>
        <v>ATENÇÃO: só 0 presentes</v>
      </c>
      <c r="N18" s="25">
        <f>'Por secao'!N18</f>
        <v>472</v>
      </c>
      <c r="O18" s="26" t="str">
        <f>'Por secao'!O18</f>
        <v>Médio</v>
      </c>
    </row>
    <row r="19" spans="1:15" x14ac:dyDescent="0.25">
      <c r="A19" s="25">
        <f>'Por secao'!A19</f>
        <v>3306</v>
      </c>
      <c r="B19" s="25" t="str">
        <f>IFERROR(INDEX(Mesarios!$D$2:$D$112,MATCH($A19&amp;"|"&amp;B$1,Mesarios!$F$2:$F$112,0)),"VAGO")</f>
        <v>JULIANA WONG MENDONÇA</v>
      </c>
      <c r="C19" s="26" t="str">
        <f>IFERROR(INDEX(Mesarios!$E$2:$E$112,MATCH($A19&amp;"|"&amp;B$1,Mesarios!$F$2:$F$112,0)),"VAGO")</f>
        <v>SIM</v>
      </c>
      <c r="D19" s="25" t="str">
        <f>IFERROR(INDEX(Mesarios!$D$2:$D$112,MATCH($A19&amp;"|"&amp;D$1,Mesarios!$F$2:$F$112,0)),"VAGO")</f>
        <v>LUISA OLIVEIRA DO MONTE CARMELO</v>
      </c>
      <c r="E19" s="26" t="str">
        <f>IFERROR(INDEX(Mesarios!$E$2:$E$112,MATCH($A19&amp;"|"&amp;D$1,Mesarios!$F$2:$F$112,0)),"VAGO")</f>
        <v>SIM</v>
      </c>
      <c r="F19" s="25" t="str">
        <f>IFERROR(INDEX(Mesarios!$D$2:$D$112,MATCH($A19&amp;"|"&amp;F$1,Mesarios!$F$2:$F$112,0)),"VAGO")</f>
        <v>MICHAEL DA COSTA MUNIZ</v>
      </c>
      <c r="G19" s="26" t="str">
        <f>IFERROR(INDEX(Mesarios!$E$2:$E$112,MATCH($A19&amp;"|"&amp;F$1,Mesarios!$F$2:$F$112,0)),"VAGO")</f>
        <v>SIM</v>
      </c>
      <c r="H19" s="25" t="str">
        <f>IFERROR(INDEX(Mesarios!$D$2:$D$112,MATCH($A19&amp;"|"&amp;H$1,Mesarios!$F$2:$F$112,0)),"VAGO")</f>
        <v>MATHEUS CARVALHO MENDONCA</v>
      </c>
      <c r="I19" s="26" t="str">
        <f>IFERROR(INDEX(Mesarios!$E$2:$E$112,MATCH($A19&amp;"|"&amp;H$1,Mesarios!$F$2:$F$112,0)),"VAGO")</f>
        <v>SIM</v>
      </c>
      <c r="J19" s="26">
        <f t="shared" si="0"/>
        <v>4</v>
      </c>
      <c r="K19" s="26">
        <f t="shared" si="1"/>
        <v>0</v>
      </c>
      <c r="L19" s="26">
        <f t="shared" si="2"/>
        <v>0</v>
      </c>
      <c r="M19" s="25" t="str">
        <f t="shared" si="3"/>
        <v>Mesa completa</v>
      </c>
      <c r="N19" s="25">
        <f>'Por secao'!N19</f>
        <v>515</v>
      </c>
      <c r="O19" s="26" t="str">
        <f>'Por secao'!O19</f>
        <v>Médio</v>
      </c>
    </row>
    <row r="20" spans="1:15" x14ac:dyDescent="0.25">
      <c r="A20" s="25">
        <f>'Por secao'!A20</f>
        <v>3308</v>
      </c>
      <c r="B20" s="25" t="str">
        <f>IFERROR(INDEX(Mesarios!$D$2:$D$112,MATCH($A20&amp;"|"&amp;B$1,Mesarios!$F$2:$F$112,0)),"VAGO")</f>
        <v>KAIQUE AQUINO OLIVEIRA</v>
      </c>
      <c r="C20" s="26" t="str">
        <f>IFERROR(INDEX(Mesarios!$E$2:$E$112,MATCH($A20&amp;"|"&amp;B$1,Mesarios!$F$2:$F$112,0)),"VAGO")</f>
        <v>SIM</v>
      </c>
      <c r="D20" s="25" t="str">
        <f>IFERROR(INDEX(Mesarios!$D$2:$D$112,MATCH($A20&amp;"|"&amp;D$1,Mesarios!$F$2:$F$112,0)),"VAGO")</f>
        <v>CARLA RIBEIRO DOS SANTOS SIMOES</v>
      </c>
      <c r="E20" s="26" t="str">
        <f>IFERROR(INDEX(Mesarios!$E$2:$E$112,MATCH($A20&amp;"|"&amp;D$1,Mesarios!$F$2:$F$112,0)),"VAGO")</f>
        <v>SIM</v>
      </c>
      <c r="F20" s="25" t="str">
        <f>IFERROR(INDEX(Mesarios!$D$2:$D$112,MATCH($A20&amp;"|"&amp;F$1,Mesarios!$F$2:$F$112,0)),"VAGO")</f>
        <v>LOUISE ANDRIELLE PRANDI</v>
      </c>
      <c r="G20" s="26" t="str">
        <f>IFERROR(INDEX(Mesarios!$E$2:$E$112,MATCH($A20&amp;"|"&amp;F$1,Mesarios!$F$2:$F$112,0)),"VAGO")</f>
        <v>SIM</v>
      </c>
      <c r="H20" s="25" t="str">
        <f>IFERROR(INDEX(Mesarios!$D$2:$D$112,MATCH($A20&amp;"|"&amp;H$1,Mesarios!$F$2:$F$112,0)),"VAGO")</f>
        <v>PAULA LIMÃO DE CAMPOS</v>
      </c>
      <c r="I20" s="26" t="str">
        <f>IFERROR(INDEX(Mesarios!$E$2:$E$112,MATCH($A20&amp;"|"&amp;H$1,Mesarios!$F$2:$F$112,0)),"VAGO")</f>
        <v>SIM</v>
      </c>
      <c r="J20" s="26">
        <f t="shared" si="0"/>
        <v>4</v>
      </c>
      <c r="K20" s="26">
        <f t="shared" si="1"/>
        <v>0</v>
      </c>
      <c r="L20" s="26">
        <f t="shared" si="2"/>
        <v>0</v>
      </c>
      <c r="M20" s="25" t="str">
        <f t="shared" si="3"/>
        <v>Mesa completa</v>
      </c>
      <c r="N20" s="25">
        <f>'Por secao'!N20</f>
        <v>295</v>
      </c>
      <c r="O20" s="26" t="str">
        <f>'Por secao'!O20</f>
        <v>Baixo</v>
      </c>
    </row>
    <row r="21" spans="1:15" x14ac:dyDescent="0.25">
      <c r="A21" s="25">
        <f>'Por secao'!A21</f>
        <v>3309</v>
      </c>
      <c r="B21" s="25" t="str">
        <f>IFERROR(INDEX(Mesarios!$D$2:$D$112,MATCH($A21&amp;"|"&amp;B$1,Mesarios!$F$2:$F$112,0)),"VAGO")</f>
        <v>ROGERIO LINHARES GOES</v>
      </c>
      <c r="C21" s="26" t="str">
        <f>IFERROR(INDEX(Mesarios!$E$2:$E$112,MATCH($A21&amp;"|"&amp;B$1,Mesarios!$F$2:$F$112,0)),"VAGO")</f>
        <v>SIM</v>
      </c>
      <c r="D21" s="25" t="str">
        <f>IFERROR(INDEX(Mesarios!$D$2:$D$112,MATCH($A21&amp;"|"&amp;D$1,Mesarios!$F$2:$F$112,0)),"VAGO")</f>
        <v>PAULA CIPRO CARVALHO CAMPOS</v>
      </c>
      <c r="E21" s="26" t="str">
        <f>IFERROR(INDEX(Mesarios!$E$2:$E$112,MATCH($A21&amp;"|"&amp;D$1,Mesarios!$F$2:$F$112,0)),"VAGO")</f>
        <v>SIM</v>
      </c>
      <c r="F21" s="25" t="str">
        <f>IFERROR(INDEX(Mesarios!$D$2:$D$112,MATCH($A21&amp;"|"&amp;F$1,Mesarios!$F$2:$F$112,0)),"VAGO")</f>
        <v>LUAM DUANE ANDRADE MOREIRA</v>
      </c>
      <c r="G21" s="26" t="str">
        <f>IFERROR(INDEX(Mesarios!$E$2:$E$112,MATCH($A21&amp;"|"&amp;F$1,Mesarios!$F$2:$F$112,0)),"VAGO")</f>
        <v>SIM</v>
      </c>
      <c r="H21" s="25" t="str">
        <f>IFERROR(INDEX(Mesarios!$D$2:$D$112,MATCH($A21&amp;"|"&amp;H$1,Mesarios!$F$2:$F$112,0)),"VAGO")</f>
        <v>SARA SOBRAL DIAS</v>
      </c>
      <c r="I21" s="26" t="str">
        <f>IFERROR(INDEX(Mesarios!$E$2:$E$112,MATCH($A21&amp;"|"&amp;H$1,Mesarios!$F$2:$F$112,0)),"VAGO")</f>
        <v>SIM</v>
      </c>
      <c r="J21" s="26">
        <f t="shared" si="0"/>
        <v>4</v>
      </c>
      <c r="K21" s="26">
        <f t="shared" si="1"/>
        <v>0</v>
      </c>
      <c r="L21" s="26">
        <f t="shared" si="2"/>
        <v>0</v>
      </c>
      <c r="M21" s="25" t="str">
        <f t="shared" si="3"/>
        <v>Mesa completa</v>
      </c>
      <c r="N21" s="25">
        <f>'Por secao'!N21</f>
        <v>395</v>
      </c>
      <c r="O21" s="26" t="str">
        <f>'Por secao'!O21</f>
        <v>Baixo</v>
      </c>
    </row>
    <row r="22" spans="1:15" x14ac:dyDescent="0.25">
      <c r="A22" s="25">
        <f>'Por secao'!A22</f>
        <v>3311</v>
      </c>
      <c r="B22" s="25" t="str">
        <f>IFERROR(INDEX(Mesarios!$D$2:$D$112,MATCH($A22&amp;"|"&amp;B$1,Mesarios!$F$2:$F$112,0)),"VAGO")</f>
        <v>FLAVIA NASCIMENTO DE SOUZA</v>
      </c>
      <c r="C22" s="26" t="str">
        <f>IFERROR(INDEX(Mesarios!$E$2:$E$112,MATCH($A22&amp;"|"&amp;B$1,Mesarios!$F$2:$F$112,0)),"VAGO")</f>
        <v>-</v>
      </c>
      <c r="D22" s="25" t="str">
        <f>IFERROR(INDEX(Mesarios!$D$2:$D$112,MATCH($A22&amp;"|"&amp;D$1,Mesarios!$F$2:$F$112,0)),"VAGO")</f>
        <v>RODRIGO ERASMO BARBOZA</v>
      </c>
      <c r="E22" s="26" t="str">
        <f>IFERROR(INDEX(Mesarios!$E$2:$E$112,MATCH($A22&amp;"|"&amp;D$1,Mesarios!$F$2:$F$112,0)),"VAGO")</f>
        <v>-</v>
      </c>
      <c r="F22" s="25" t="str">
        <f>IFERROR(INDEX(Mesarios!$D$2:$D$112,MATCH($A22&amp;"|"&amp;F$1,Mesarios!$F$2:$F$112,0)),"VAGO")</f>
        <v>EDNALDO AZEVEDO DE NORONHA</v>
      </c>
      <c r="G22" s="26" t="str">
        <f>IFERROR(INDEX(Mesarios!$E$2:$E$112,MATCH($A22&amp;"|"&amp;F$1,Mesarios!$F$2:$F$112,0)),"VAGO")</f>
        <v>0006/2026</v>
      </c>
      <c r="H22" s="25" t="str">
        <f>IFERROR(INDEX(Mesarios!$D$2:$D$112,MATCH($A22&amp;"|"&amp;H$1,Mesarios!$F$2:$F$112,0)),"VAGO")</f>
        <v>THAÍS TERÊNCIO PEREIRA</v>
      </c>
      <c r="I22" s="26" t="str">
        <f>IFERROR(INDEX(Mesarios!$E$2:$E$112,MATCH($A22&amp;"|"&amp;H$1,Mesarios!$F$2:$F$112,0)),"VAGO")</f>
        <v>0006/2026</v>
      </c>
      <c r="J22" s="26">
        <f t="shared" si="0"/>
        <v>0</v>
      </c>
      <c r="K22" s="26">
        <f t="shared" si="1"/>
        <v>0</v>
      </c>
      <c r="L22" s="26">
        <f t="shared" si="2"/>
        <v>4</v>
      </c>
      <c r="M22" s="25" t="str">
        <f t="shared" si="3"/>
        <v>ATENÇÃO: só 0 presentes</v>
      </c>
      <c r="N22" s="25">
        <f>'Por secao'!N22</f>
        <v>466</v>
      </c>
      <c r="O22" s="26" t="str">
        <f>'Por secao'!O22</f>
        <v>Médio</v>
      </c>
    </row>
    <row r="23" spans="1:15" x14ac:dyDescent="0.25">
      <c r="A23" s="25">
        <f>'Por secao'!A23</f>
        <v>3313</v>
      </c>
      <c r="B23" s="25" t="str">
        <f>IFERROR(INDEX(Mesarios!$D$2:$D$112,MATCH($A23&amp;"|"&amp;B$1,Mesarios!$F$2:$F$112,0)),"VAGO")</f>
        <v>VANESSA ROCHA BARBOSA BARBALHO</v>
      </c>
      <c r="C23" s="26" t="str">
        <f>IFERROR(INDEX(Mesarios!$E$2:$E$112,MATCH($A23&amp;"|"&amp;B$1,Mesarios!$F$2:$F$112,0)),"VAGO")</f>
        <v>SIM</v>
      </c>
      <c r="D23" s="25" t="str">
        <f>IFERROR(INDEX(Mesarios!$D$2:$D$112,MATCH($A23&amp;"|"&amp;D$1,Mesarios!$F$2:$F$112,0)),"VAGO")</f>
        <v>LEILA ROSARIA LIOTTA</v>
      </c>
      <c r="E23" s="26" t="str">
        <f>IFERROR(INDEX(Mesarios!$E$2:$E$112,MATCH($A23&amp;"|"&amp;D$1,Mesarios!$F$2:$F$112,0)),"VAGO")</f>
        <v>SIM</v>
      </c>
      <c r="F23" s="25" t="str">
        <f>IFERROR(INDEX(Mesarios!$D$2:$D$112,MATCH($A23&amp;"|"&amp;F$1,Mesarios!$F$2:$F$112,0)),"VAGO")</f>
        <v>DANIEL PESSOA CARDEAL</v>
      </c>
      <c r="G23" s="26" t="str">
        <f>IFERROR(INDEX(Mesarios!$E$2:$E$112,MATCH($A23&amp;"|"&amp;F$1,Mesarios!$F$2:$F$112,0)),"VAGO")</f>
        <v>SIM</v>
      </c>
      <c r="H23" s="25" t="str">
        <f>IFERROR(INDEX(Mesarios!$D$2:$D$112,MATCH($A23&amp;"|"&amp;H$1,Mesarios!$F$2:$F$112,0)),"VAGO")</f>
        <v>SANDRO CUNHA DA SILVA</v>
      </c>
      <c r="I23" s="26" t="str">
        <f>IFERROR(INDEX(Mesarios!$E$2:$E$112,MATCH($A23&amp;"|"&amp;H$1,Mesarios!$F$2:$F$112,0)),"VAGO")</f>
        <v>SIM</v>
      </c>
      <c r="J23" s="26">
        <f t="shared" si="0"/>
        <v>4</v>
      </c>
      <c r="K23" s="26">
        <f t="shared" si="1"/>
        <v>0</v>
      </c>
      <c r="L23" s="26">
        <f t="shared" si="2"/>
        <v>0</v>
      </c>
      <c r="M23" s="25" t="str">
        <f t="shared" si="3"/>
        <v>Mesa completa</v>
      </c>
      <c r="N23" s="25">
        <f>'Por secao'!N23</f>
        <v>590</v>
      </c>
      <c r="O23" s="26" t="str">
        <f>'Por secao'!O23</f>
        <v>Alto</v>
      </c>
    </row>
    <row r="24" spans="1:15" x14ac:dyDescent="0.25">
      <c r="A24" s="25">
        <f>'Por secao'!A24</f>
        <v>3315</v>
      </c>
      <c r="B24" s="25" t="str">
        <f>IFERROR(INDEX(Mesarios!$D$2:$D$112,MATCH($A24&amp;"|"&amp;B$1,Mesarios!$F$2:$F$112,0)),"VAGO")</f>
        <v>JAIR DE ASSUNÇÃO CORREIA FILHO</v>
      </c>
      <c r="C24" s="26" t="str">
        <f>IFERROR(INDEX(Mesarios!$E$2:$E$112,MATCH($A24&amp;"|"&amp;B$1,Mesarios!$F$2:$F$112,0)),"VAGO")</f>
        <v>SIM</v>
      </c>
      <c r="D24" s="25" t="str">
        <f>IFERROR(INDEX(Mesarios!$D$2:$D$112,MATCH($A24&amp;"|"&amp;D$1,Mesarios!$F$2:$F$112,0)),"VAGO")</f>
        <v>HUMBERTO ALAF RIBEIRO MARTINS</v>
      </c>
      <c r="E24" s="26" t="str">
        <f>IFERROR(INDEX(Mesarios!$E$2:$E$112,MATCH($A24&amp;"|"&amp;D$1,Mesarios!$F$2:$F$112,0)),"VAGO")</f>
        <v>SIM</v>
      </c>
      <c r="F24" s="25" t="str">
        <f>IFERROR(INDEX(Mesarios!$D$2:$D$112,MATCH($A24&amp;"|"&amp;F$1,Mesarios!$F$2:$F$112,0)),"VAGO")</f>
        <v>JESSICA MENDES</v>
      </c>
      <c r="G24" s="26" t="str">
        <f>IFERROR(INDEX(Mesarios!$E$2:$E$112,MATCH($A24&amp;"|"&amp;F$1,Mesarios!$F$2:$F$112,0)),"VAGO")</f>
        <v>SIM</v>
      </c>
      <c r="H24" s="25" t="str">
        <f>IFERROR(INDEX(Mesarios!$D$2:$D$112,MATCH($A24&amp;"|"&amp;H$1,Mesarios!$F$2:$F$112,0)),"VAGO")</f>
        <v>ALANE GERSSICA DE ANDRADE DO NASCIMENTO</v>
      </c>
      <c r="I24" s="26" t="str">
        <f>IFERROR(INDEX(Mesarios!$E$2:$E$112,MATCH($A24&amp;"|"&amp;H$1,Mesarios!$F$2:$F$112,0)),"VAGO")</f>
        <v>SIM</v>
      </c>
      <c r="J24" s="26">
        <f t="shared" si="0"/>
        <v>4</v>
      </c>
      <c r="K24" s="26">
        <f t="shared" si="1"/>
        <v>0</v>
      </c>
      <c r="L24" s="26">
        <f t="shared" si="2"/>
        <v>0</v>
      </c>
      <c r="M24" s="25" t="str">
        <f t="shared" si="3"/>
        <v>Mesa completa</v>
      </c>
      <c r="N24" s="25">
        <f>'Por secao'!N24</f>
        <v>586</v>
      </c>
      <c r="O24" s="26" t="str">
        <f>'Por secao'!O24</f>
        <v>Alto</v>
      </c>
    </row>
    <row r="25" spans="1:15" x14ac:dyDescent="0.25">
      <c r="A25" s="25">
        <f>'Por secao'!A25</f>
        <v>3322</v>
      </c>
      <c r="B25" s="25" t="str">
        <f>IFERROR(INDEX(Mesarios!$D$2:$D$112,MATCH($A25&amp;"|"&amp;B$1,Mesarios!$F$2:$F$112,0)),"VAGO")</f>
        <v>MAÍRA FABIOLA FABIANI</v>
      </c>
      <c r="C25" s="26" t="str">
        <f>IFERROR(INDEX(Mesarios!$E$2:$E$112,MATCH($A25&amp;"|"&amp;B$1,Mesarios!$F$2:$F$112,0)),"VAGO")</f>
        <v>SIM</v>
      </c>
      <c r="D25" s="25" t="str">
        <f>IFERROR(INDEX(Mesarios!$D$2:$D$112,MATCH($A25&amp;"|"&amp;D$1,Mesarios!$F$2:$F$112,0)),"VAGO")</f>
        <v>BRENDA ALVES DA SILVA</v>
      </c>
      <c r="E25" s="26" t="str">
        <f>IFERROR(INDEX(Mesarios!$E$2:$E$112,MATCH($A25&amp;"|"&amp;D$1,Mesarios!$F$2:$F$112,0)),"VAGO")</f>
        <v>NAO</v>
      </c>
      <c r="F25" s="25" t="str">
        <f>IFERROR(INDEX(Mesarios!$D$2:$D$112,MATCH($A25&amp;"|"&amp;F$1,Mesarios!$F$2:$F$112,0)),"VAGO")</f>
        <v>RUDINEI CORDEIRO</v>
      </c>
      <c r="G25" s="26" t="str">
        <f>IFERROR(INDEX(Mesarios!$E$2:$E$112,MATCH($A25&amp;"|"&amp;F$1,Mesarios!$F$2:$F$112,0)),"VAGO")</f>
        <v>NAO</v>
      </c>
      <c r="H25" s="25" t="str">
        <f>IFERROR(INDEX(Mesarios!$D$2:$D$112,MATCH($A25&amp;"|"&amp;H$1,Mesarios!$F$2:$F$112,0)),"VAGO")</f>
        <v>NADIA FERNANDA WEBER</v>
      </c>
      <c r="I25" s="26" t="str">
        <f>IFERROR(INDEX(Mesarios!$E$2:$E$112,MATCH($A25&amp;"|"&amp;H$1,Mesarios!$F$2:$F$112,0)),"VAGO")</f>
        <v>SIM</v>
      </c>
      <c r="J25" s="26">
        <f t="shared" si="0"/>
        <v>2</v>
      </c>
      <c r="K25" s="26">
        <f t="shared" si="1"/>
        <v>2</v>
      </c>
      <c r="L25" s="26">
        <f t="shared" si="2"/>
        <v>0</v>
      </c>
      <c r="M25" s="25" t="str">
        <f t="shared" si="3"/>
        <v>ATENÇÃO: só 2 presentes</v>
      </c>
      <c r="N25" s="25">
        <f>'Por secao'!N25</f>
        <v>588</v>
      </c>
      <c r="O25" s="26" t="str">
        <f>'Por secao'!O25</f>
        <v>Alto</v>
      </c>
    </row>
    <row r="26" spans="1:15" x14ac:dyDescent="0.25">
      <c r="A26" s="25">
        <f>'Por secao'!A26</f>
        <v>3442</v>
      </c>
      <c r="B26" s="25" t="str">
        <f>IFERROR(INDEX(Mesarios!$D$2:$D$112,MATCH($A26&amp;"|"&amp;B$1,Mesarios!$F$2:$F$112,0)),"VAGO")</f>
        <v>DANILO ANDERSON FERRAREIS</v>
      </c>
      <c r="C26" s="26" t="str">
        <f>IFERROR(INDEX(Mesarios!$E$2:$E$112,MATCH($A26&amp;"|"&amp;B$1,Mesarios!$F$2:$F$112,0)),"VAGO")</f>
        <v>SIM</v>
      </c>
      <c r="D26" s="25" t="str">
        <f>IFERROR(INDEX(Mesarios!$D$2:$D$112,MATCH($A26&amp;"|"&amp;D$1,Mesarios!$F$2:$F$112,0)),"VAGO")</f>
        <v>GUSTAVO DAVID LOPES</v>
      </c>
      <c r="E26" s="26" t="str">
        <f>IFERROR(INDEX(Mesarios!$E$2:$E$112,MATCH($A26&amp;"|"&amp;D$1,Mesarios!$F$2:$F$112,0)),"VAGO")</f>
        <v>NAO</v>
      </c>
      <c r="F26" s="25" t="str">
        <f>IFERROR(INDEX(Mesarios!$D$2:$D$112,MATCH($A26&amp;"|"&amp;F$1,Mesarios!$F$2:$F$112,0)),"VAGO")</f>
        <v>TIFANY AZUMA TROMBINO XANDÚ</v>
      </c>
      <c r="G26" s="26" t="str">
        <f>IFERROR(INDEX(Mesarios!$E$2:$E$112,MATCH($A26&amp;"|"&amp;F$1,Mesarios!$F$2:$F$112,0)),"VAGO")</f>
        <v>NAO</v>
      </c>
      <c r="H26" s="25" t="str">
        <f>IFERROR(INDEX(Mesarios!$D$2:$D$112,MATCH($A26&amp;"|"&amp;H$1,Mesarios!$F$2:$F$112,0)),"VAGO")</f>
        <v>NICOLI CAMPOS CAMILO</v>
      </c>
      <c r="I26" s="26" t="str">
        <f>IFERROR(INDEX(Mesarios!$E$2:$E$112,MATCH($A26&amp;"|"&amp;H$1,Mesarios!$F$2:$F$112,0)),"VAGO")</f>
        <v>SIM</v>
      </c>
      <c r="J26" s="26">
        <f t="shared" si="0"/>
        <v>2</v>
      </c>
      <c r="K26" s="26">
        <f t="shared" si="1"/>
        <v>2</v>
      </c>
      <c r="L26" s="26">
        <f t="shared" si="2"/>
        <v>0</v>
      </c>
      <c r="M26" s="25" t="str">
        <f t="shared" si="3"/>
        <v>ATENÇÃO: só 2 presentes</v>
      </c>
      <c r="N26" s="25">
        <f>'Por secao'!N26</f>
        <v>295</v>
      </c>
      <c r="O26" s="26" t="str">
        <f>'Por secao'!O26</f>
        <v>Baixo</v>
      </c>
    </row>
    <row r="27" spans="1:15" x14ac:dyDescent="0.25">
      <c r="A27" s="25">
        <f>'Por secao'!A27</f>
        <v>3688</v>
      </c>
      <c r="B27" s="25" t="str">
        <f>IFERROR(INDEX(Mesarios!$D$2:$D$112,MATCH($A27&amp;"|"&amp;B$1,Mesarios!$F$2:$F$112,0)),"VAGO")</f>
        <v>JULIANA NUNES DE MENDONÇA</v>
      </c>
      <c r="C27" s="26" t="str">
        <f>IFERROR(INDEX(Mesarios!$E$2:$E$112,MATCH($A27&amp;"|"&amp;B$1,Mesarios!$F$2:$F$112,0)),"VAGO")</f>
        <v>SIM</v>
      </c>
      <c r="D27" s="25" t="str">
        <f>IFERROR(INDEX(Mesarios!$D$2:$D$112,MATCH($A27&amp;"|"&amp;D$1,Mesarios!$F$2:$F$112,0)),"VAGO")</f>
        <v>LAURA BEATRIZ VIEIRA SANTOS</v>
      </c>
      <c r="E27" s="26" t="str">
        <f>IFERROR(INDEX(Mesarios!$E$2:$E$112,MATCH($A27&amp;"|"&amp;D$1,Mesarios!$F$2:$F$112,0)),"VAGO")</f>
        <v>NAO</v>
      </c>
      <c r="F27" s="25" t="str">
        <f>IFERROR(INDEX(Mesarios!$D$2:$D$112,MATCH($A27&amp;"|"&amp;F$1,Mesarios!$F$2:$F$112,0)),"VAGO")</f>
        <v>DIEGO MENDANHA DA SILVA MAIA</v>
      </c>
      <c r="G27" s="26" t="str">
        <f>IFERROR(INDEX(Mesarios!$E$2:$E$112,MATCH($A27&amp;"|"&amp;F$1,Mesarios!$F$2:$F$112,0)),"VAGO")</f>
        <v>SIM</v>
      </c>
      <c r="H27" s="25" t="str">
        <f>IFERROR(INDEX(Mesarios!$D$2:$D$112,MATCH($A27&amp;"|"&amp;H$1,Mesarios!$F$2:$F$112,0)),"VAGO")</f>
        <v>LAURO SILVA RAMOS</v>
      </c>
      <c r="I27" s="26" t="str">
        <f>IFERROR(INDEX(Mesarios!$E$2:$E$112,MATCH($A27&amp;"|"&amp;H$1,Mesarios!$F$2:$F$112,0)),"VAGO")</f>
        <v>NAO</v>
      </c>
      <c r="J27" s="26">
        <f t="shared" si="0"/>
        <v>2</v>
      </c>
      <c r="K27" s="26">
        <f t="shared" si="1"/>
        <v>2</v>
      </c>
      <c r="L27" s="26">
        <f t="shared" si="2"/>
        <v>0</v>
      </c>
      <c r="M27" s="25" t="str">
        <f t="shared" si="3"/>
        <v>ATENÇÃO: só 2 presentes</v>
      </c>
      <c r="N27" s="25">
        <f>'Por secao'!N27</f>
        <v>296</v>
      </c>
      <c r="O27" s="26" t="str">
        <f>'Por secao'!O27</f>
        <v>Baixo</v>
      </c>
    </row>
    <row r="28" spans="1:15" x14ac:dyDescent="0.25">
      <c r="A28" s="25">
        <f>'Por secao'!A28</f>
        <v>3832</v>
      </c>
      <c r="B28" s="25" t="str">
        <f>IFERROR(INDEX(Mesarios!$D$2:$D$112,MATCH($A28&amp;"|"&amp;B$1,Mesarios!$F$2:$F$112,0)),"VAGO")</f>
        <v>GILMAR BARBOSA DE SOUZA</v>
      </c>
      <c r="C28" s="26" t="str">
        <f>IFERROR(INDEX(Mesarios!$E$2:$E$112,MATCH($A28&amp;"|"&amp;B$1,Mesarios!$F$2:$F$112,0)),"VAGO")</f>
        <v>SIM</v>
      </c>
      <c r="D28" s="25" t="str">
        <f>IFERROR(INDEX(Mesarios!$D$2:$D$112,MATCH($A28&amp;"|"&amp;D$1,Mesarios!$F$2:$F$112,0)),"VAGO")</f>
        <v>MARINA RODRIGUES COUTO</v>
      </c>
      <c r="E28" s="26" t="str">
        <f>IFERROR(INDEX(Mesarios!$E$2:$E$112,MATCH($A28&amp;"|"&amp;D$1,Mesarios!$F$2:$F$112,0)),"VAGO")</f>
        <v>SIM</v>
      </c>
      <c r="F28" s="25" t="str">
        <f>IFERROR(INDEX(Mesarios!$D$2:$D$112,MATCH($A28&amp;"|"&amp;F$1,Mesarios!$F$2:$F$112,0)),"VAGO")</f>
        <v>ROBERTO CANALLI JUNIOR</v>
      </c>
      <c r="G28" s="26" t="str">
        <f>IFERROR(INDEX(Mesarios!$E$2:$E$112,MATCH($A28&amp;"|"&amp;F$1,Mesarios!$F$2:$F$112,0)),"VAGO")</f>
        <v>SIM</v>
      </c>
      <c r="H28" s="25" t="str">
        <f>IFERROR(INDEX(Mesarios!$D$2:$D$112,MATCH($A28&amp;"|"&amp;H$1,Mesarios!$F$2:$F$112,0)),"VAGO")</f>
        <v>THAYLA CHRISTINE EUGENIO BENTO</v>
      </c>
      <c r="I28" s="26" t="str">
        <f>IFERROR(INDEX(Mesarios!$E$2:$E$112,MATCH($A28&amp;"|"&amp;H$1,Mesarios!$F$2:$F$112,0)),"VAGO")</f>
        <v>SIM</v>
      </c>
      <c r="J28" s="26">
        <f t="shared" si="0"/>
        <v>4</v>
      </c>
      <c r="K28" s="26">
        <f t="shared" si="1"/>
        <v>0</v>
      </c>
      <c r="L28" s="26">
        <f t="shared" si="2"/>
        <v>0</v>
      </c>
      <c r="M28" s="25" t="str">
        <f t="shared" si="3"/>
        <v>Mesa completa</v>
      </c>
      <c r="N28" s="25">
        <f>'Por secao'!N28</f>
        <v>296</v>
      </c>
      <c r="O28" s="26" t="str">
        <f>'Por secao'!O28</f>
        <v>Baixo</v>
      </c>
    </row>
    <row r="29" spans="1:15" x14ac:dyDescent="0.25">
      <c r="A29" s="25">
        <f>'Por secao'!A29</f>
        <v>3862</v>
      </c>
      <c r="B29" s="25" t="str">
        <f>IFERROR(INDEX(Mesarios!$D$2:$D$112,MATCH($A29&amp;"|"&amp;B$1,Mesarios!$F$2:$F$112,0)),"VAGO")</f>
        <v>EMILLY LAÍSE PARDO XAVIER</v>
      </c>
      <c r="C29" s="26" t="str">
        <f>IFERROR(INDEX(Mesarios!$E$2:$E$112,MATCH($A29&amp;"|"&amp;B$1,Mesarios!$F$2:$F$112,0)),"VAGO")</f>
        <v>SIM</v>
      </c>
      <c r="D29" s="25" t="str">
        <f>IFERROR(INDEX(Mesarios!$D$2:$D$112,MATCH($A29&amp;"|"&amp;D$1,Mesarios!$F$2:$F$112,0)),"VAGO")</f>
        <v>BRUNA MARIA DE ALMEIDA CABRAL</v>
      </c>
      <c r="E29" s="26" t="str">
        <f>IFERROR(INDEX(Mesarios!$E$2:$E$112,MATCH($A29&amp;"|"&amp;D$1,Mesarios!$F$2:$F$112,0)),"VAGO")</f>
        <v>SIM</v>
      </c>
      <c r="F29" s="25" t="str">
        <f>IFERROR(INDEX(Mesarios!$D$2:$D$112,MATCH($A29&amp;"|"&amp;F$1,Mesarios!$F$2:$F$112,0)),"VAGO")</f>
        <v>VAGO</v>
      </c>
      <c r="G29" s="26" t="str">
        <f>IFERROR(INDEX(Mesarios!$E$2:$E$112,MATCH($A29&amp;"|"&amp;F$1,Mesarios!$F$2:$F$112,0)),"VAGO")</f>
        <v>VAGO</v>
      </c>
      <c r="H29" s="25" t="str">
        <f>IFERROR(INDEX(Mesarios!$D$2:$D$112,MATCH($A29&amp;"|"&amp;H$1,Mesarios!$F$2:$F$112,0)),"VAGO")</f>
        <v>IVANI BATISTA DE FREITAS MONTEIRO</v>
      </c>
      <c r="I29" s="26" t="str">
        <f>IFERROR(INDEX(Mesarios!$E$2:$E$112,MATCH($A29&amp;"|"&amp;H$1,Mesarios!$F$2:$F$112,0)),"VAGO")</f>
        <v>SIM</v>
      </c>
      <c r="J29" s="26">
        <f t="shared" si="0"/>
        <v>3</v>
      </c>
      <c r="K29" s="26">
        <f t="shared" si="1"/>
        <v>0</v>
      </c>
      <c r="L29" s="26">
        <f t="shared" si="2"/>
        <v>0</v>
      </c>
      <c r="M29" s="25" t="str">
        <f t="shared" si="3"/>
        <v>Falta 1</v>
      </c>
      <c r="N29" s="25">
        <f>'Por secao'!N29</f>
        <v>296</v>
      </c>
      <c r="O29" s="26" t="str">
        <f>'Por secao'!O29</f>
        <v>Baixo</v>
      </c>
    </row>
    <row r="30" spans="1:15" x14ac:dyDescent="0.25">
      <c r="A30" s="27" t="s">
        <v>258</v>
      </c>
      <c r="J30" s="27">
        <f>SUM(J2:J29)</f>
        <v>82</v>
      </c>
      <c r="K30" s="27">
        <f>SUM(K2:K29)</f>
        <v>13</v>
      </c>
      <c r="L30" s="27">
        <f>SUM(L2:L29)</f>
        <v>16</v>
      </c>
      <c r="M30" s="27" t="str">
        <f>COUNTIF(M2:M29,"Mesa completa")&amp;" completas · "&amp;COUNTIF(M2:M29,"Falta 1")&amp;" falta 1 · "&amp;COUNTIF(M2:M29,"ATENÇÃO*")&amp;" em atenção"</f>
        <v>15 completas · 4 falta 1 · 9 em atenção</v>
      </c>
    </row>
    <row r="32" spans="1:15" x14ac:dyDescent="0.25">
      <c r="A32" s="21" t="s">
        <v>259</v>
      </c>
    </row>
  </sheetData>
  <autoFilter ref="A1:O29" xr:uid="{00000000-0009-0000-0000-000002000000}"/>
  <conditionalFormatting sqref="A2:A29">
    <cfRule type="expression" dxfId="29" priority="9">
      <formula>$O2="Alto"</formula>
    </cfRule>
    <cfRule type="expression" dxfId="28" priority="10">
      <formula>$O2="Médio"</formula>
    </cfRule>
    <cfRule type="expression" dxfId="27" priority="11">
      <formula>$O2="Baixo"</formula>
    </cfRule>
  </conditionalFormatting>
  <conditionalFormatting sqref="C2:C29 E2:E29 G2:G29 I2:I29">
    <cfRule type="expression" dxfId="26" priority="1">
      <formula>C2="SIM"</formula>
    </cfRule>
    <cfRule type="expression" dxfId="25" priority="2">
      <formula>C2="NAO"</formula>
    </cfRule>
    <cfRule type="expression" dxfId="24" priority="3">
      <formula>C2="0006/2026"</formula>
    </cfRule>
    <cfRule type="expression" dxfId="23" priority="4">
      <formula>C2="-"</formula>
    </cfRule>
    <cfRule type="expression" dxfId="22" priority="5">
      <formula>C2="VAGO"</formula>
    </cfRule>
  </conditionalFormatting>
  <conditionalFormatting sqref="J2:J29">
    <cfRule type="expression" dxfId="21" priority="6">
      <formula>J2&lt;3</formula>
    </cfRule>
  </conditionalFormatting>
  <conditionalFormatting sqref="M2:M29">
    <cfRule type="expression" dxfId="20" priority="7">
      <formula>LEFT(M2,7)="ATENÇÃO"</formula>
    </cfRule>
    <cfRule type="expression" dxfId="19" priority="8">
      <formula>M2="Falta 1"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8"/>
  <sheetViews>
    <sheetView tabSelected="1" workbookViewId="0">
      <pane xSplit="1" ySplit="1" topLeftCell="H2" activePane="bottomRight" state="frozen"/>
      <selection pane="topRight"/>
      <selection pane="bottomLeft"/>
      <selection pane="bottomRight" activeCell="V23" sqref="V23"/>
    </sheetView>
  </sheetViews>
  <sheetFormatPr defaultRowHeight="15" x14ac:dyDescent="0.25"/>
  <cols>
    <col min="1" max="1" width="9" customWidth="1"/>
    <col min="2" max="5" width="12" customWidth="1"/>
    <col min="6" max="6" width="13" customWidth="1"/>
    <col min="7" max="7" width="12" customWidth="1"/>
    <col min="8" max="8" width="14" customWidth="1"/>
    <col min="9" max="9" width="22" customWidth="1"/>
    <col min="10" max="10" width="10" customWidth="1"/>
    <col min="11" max="11" width="40" customWidth="1"/>
    <col min="12" max="13" width="11" customWidth="1"/>
    <col min="14" max="14" width="11.7109375" bestFit="1" customWidth="1"/>
    <col min="15" max="15" width="15.85546875" bestFit="1" customWidth="1"/>
    <col min="16" max="16" width="14" customWidth="1"/>
    <col min="17" max="17" width="17" customWidth="1"/>
    <col min="18" max="23" width="14" customWidth="1"/>
  </cols>
  <sheetData>
    <row r="1" spans="1:23" ht="30" customHeight="1" x14ac:dyDescent="0.25">
      <c r="A1" s="16" t="s">
        <v>0</v>
      </c>
      <c r="B1" s="16" t="s">
        <v>260</v>
      </c>
      <c r="C1" s="16" t="s">
        <v>6</v>
      </c>
      <c r="D1" s="16" t="s">
        <v>10</v>
      </c>
      <c r="E1" s="16" t="s">
        <v>13</v>
      </c>
      <c r="F1" s="16" t="s">
        <v>16</v>
      </c>
      <c r="G1" s="16" t="s">
        <v>231</v>
      </c>
      <c r="H1" s="16" t="s">
        <v>232</v>
      </c>
      <c r="I1" s="16" t="s">
        <v>261</v>
      </c>
      <c r="J1" s="16" t="s">
        <v>262</v>
      </c>
      <c r="K1" s="17" t="s">
        <v>255</v>
      </c>
      <c r="L1" s="16" t="s">
        <v>263</v>
      </c>
      <c r="M1" s="16" t="s">
        <v>264</v>
      </c>
      <c r="N1" s="16" t="s">
        <v>256</v>
      </c>
      <c r="O1" s="16" t="s">
        <v>257</v>
      </c>
      <c r="P1" s="35" t="s">
        <v>265</v>
      </c>
      <c r="Q1" s="35" t="s">
        <v>266</v>
      </c>
      <c r="R1" s="35" t="s">
        <v>267</v>
      </c>
      <c r="S1" s="35" t="s">
        <v>268</v>
      </c>
      <c r="T1" s="35" t="s">
        <v>269</v>
      </c>
      <c r="U1" s="35" t="s">
        <v>270</v>
      </c>
      <c r="V1" s="35" t="s">
        <v>271</v>
      </c>
      <c r="W1" s="35" t="s">
        <v>272</v>
      </c>
    </row>
    <row r="2" spans="1:23" x14ac:dyDescent="0.25">
      <c r="A2" s="15">
        <v>511</v>
      </c>
      <c r="B2" s="11">
        <f>COUNTIFS(Mesarios!$A$2:$A$112,$A2)</f>
        <v>4</v>
      </c>
      <c r="C2" s="11" t="str">
        <f>IF(COUNTIFS(Mesarios!$A$2:$A$112,$A2,Mesarios!$B$2:$B$112,C$1)&gt;0,"✓","VAGO")</f>
        <v>✓</v>
      </c>
      <c r="D2" s="11" t="str">
        <f>IF(COUNTIFS(Mesarios!$A$2:$A$112,$A2,Mesarios!$B$2:$B$112,D$1)&gt;0,"✓","VAGO")</f>
        <v>✓</v>
      </c>
      <c r="E2" s="11" t="str">
        <f>IF(COUNTIFS(Mesarios!$A$2:$A$112,$A2,Mesarios!$B$2:$B$112,E$1)&gt;0,"✓","VAGO")</f>
        <v>✓</v>
      </c>
      <c r="F2" s="11" t="str">
        <f>IF(COUNTIFS(Mesarios!$A$2:$A$112,$A2,Mesarios!$B$2:$B$112,F$1)&gt;0,"✓","VAGO")</f>
        <v>✓</v>
      </c>
      <c r="G2" s="11">
        <f>COUNTIFS(Mesarios!$A$2:$A$112,$A2,Mesarios!$E$2:$E$112,"SIM")</f>
        <v>4</v>
      </c>
      <c r="H2" s="11">
        <f>COUNTIFS(Mesarios!$A$2:$A$112,$A2,Mesarios!$E$2:$E$112,"NAO")</f>
        <v>0</v>
      </c>
      <c r="I2" s="11">
        <f>COUNTIFS(Mesarios!$A$2:$A$112,$A2,Mesarios!$E$2:$E$112,"0006/2026")+COUNTIFS(Mesarios!$A$2:$A$112,$A2,Mesarios!$E$2:$E$112,"-")</f>
        <v>0</v>
      </c>
      <c r="J2" s="11">
        <f t="shared" ref="J2:J29" si="0">COUNTIF(C2:F2,"VAGO")</f>
        <v>0</v>
      </c>
      <c r="K2" s="14" t="str">
        <f t="shared" ref="K2:K29" si="1">IF(B2&lt;4,"Mesa com "&amp;B2&amp;" designados","")&amp;IF(AND(B2&lt;4,G2&lt;3)," · ","")&amp;IF(G2&lt;3,"Só "&amp;G2&amp;" presentes","")</f>
        <v/>
      </c>
      <c r="L2" s="13">
        <v>1100</v>
      </c>
      <c r="M2" s="12">
        <v>582</v>
      </c>
      <c r="N2" s="12">
        <v>375</v>
      </c>
      <c r="O2" s="11" t="str">
        <f t="shared" ref="O2:O29" si="2">IF(N2&gt;=$N$34,"Alto",IF(N2&gt;=$N$35,"Médio","Baixo"))</f>
        <v>Baixo</v>
      </c>
      <c r="P2" s="12">
        <v>582</v>
      </c>
      <c r="Q2" s="12">
        <v>226</v>
      </c>
      <c r="R2" s="36">
        <f t="shared" ref="R2:R30" si="3">P2-Q2</f>
        <v>356</v>
      </c>
      <c r="S2" s="37">
        <f t="shared" ref="S2:S30" si="4">Q2/P2</f>
        <v>0.38831615120274915</v>
      </c>
      <c r="T2" s="38">
        <f t="shared" ref="T2:T30" si="5">Q2-N2</f>
        <v>-149</v>
      </c>
      <c r="U2" s="39">
        <f t="shared" ref="U2:U30" si="6">Q2/N2-1</f>
        <v>-0.39733333333333332</v>
      </c>
      <c r="V2" s="40">
        <f>RANK(Q2,$Q$2:$Q$29)+COUNTIF($Q$2:Q2,Q2)-1</f>
        <v>22</v>
      </c>
      <c r="W2" s="11" t="str">
        <f t="shared" ref="W2:W29" si="7">IF(Q2&gt;=$W$34,"Alto",IF(Q2&gt;=$W$35,"Médio","Baixo"))</f>
        <v>Baixo</v>
      </c>
    </row>
    <row r="3" spans="1:23" x14ac:dyDescent="0.25">
      <c r="A3" s="15">
        <v>512</v>
      </c>
      <c r="B3" s="11">
        <f>COUNTIFS(Mesarios!$A$2:$A$112,$A3)</f>
        <v>4</v>
      </c>
      <c r="C3" s="11" t="str">
        <f>IF(COUNTIFS(Mesarios!$A$2:$A$112,$A3,Mesarios!$B$2:$B$112,C$1)&gt;0,"✓","VAGO")</f>
        <v>✓</v>
      </c>
      <c r="D3" s="11" t="str">
        <f>IF(COUNTIFS(Mesarios!$A$2:$A$112,$A3,Mesarios!$B$2:$B$112,D$1)&gt;0,"✓","VAGO")</f>
        <v>✓</v>
      </c>
      <c r="E3" s="11" t="str">
        <f>IF(COUNTIFS(Mesarios!$A$2:$A$112,$A3,Mesarios!$B$2:$B$112,E$1)&gt;0,"✓","VAGO")</f>
        <v>✓</v>
      </c>
      <c r="F3" s="11" t="str">
        <f>IF(COUNTIFS(Mesarios!$A$2:$A$112,$A3,Mesarios!$B$2:$B$112,F$1)&gt;0,"✓","VAGO")</f>
        <v>✓</v>
      </c>
      <c r="G3" s="11">
        <f>COUNTIFS(Mesarios!$A$2:$A$112,$A3,Mesarios!$E$2:$E$112,"SIM")</f>
        <v>3</v>
      </c>
      <c r="H3" s="11">
        <f>COUNTIFS(Mesarios!$A$2:$A$112,$A3,Mesarios!$E$2:$E$112,"NAO")</f>
        <v>1</v>
      </c>
      <c r="I3" s="11">
        <f>COUNTIFS(Mesarios!$A$2:$A$112,$A3,Mesarios!$E$2:$E$112,"0006/2026")+COUNTIFS(Mesarios!$A$2:$A$112,$A3,Mesarios!$E$2:$E$112,"-")</f>
        <v>0</v>
      </c>
      <c r="J3" s="11">
        <f t="shared" si="0"/>
        <v>0</v>
      </c>
      <c r="K3" s="14" t="str">
        <f t="shared" si="1"/>
        <v/>
      </c>
      <c r="L3" s="13">
        <v>2855</v>
      </c>
      <c r="M3" s="12">
        <v>476</v>
      </c>
      <c r="N3" s="12">
        <v>355</v>
      </c>
      <c r="O3" s="11" t="str">
        <f t="shared" si="2"/>
        <v>Baixo</v>
      </c>
      <c r="P3" s="12">
        <v>476</v>
      </c>
      <c r="Q3" s="12">
        <v>204</v>
      </c>
      <c r="R3" s="36">
        <f t="shared" si="3"/>
        <v>272</v>
      </c>
      <c r="S3" s="37">
        <f t="shared" si="4"/>
        <v>0.42857142857142855</v>
      </c>
      <c r="T3" s="38">
        <f t="shared" si="5"/>
        <v>-151</v>
      </c>
      <c r="U3" s="39">
        <f t="shared" si="6"/>
        <v>-0.42535211267605633</v>
      </c>
      <c r="V3" s="40">
        <f>RANK(Q3,$Q$2:$Q$29)+COUNTIF($Q$2:Q3,Q3)-1</f>
        <v>24</v>
      </c>
      <c r="W3" s="11" t="str">
        <f t="shared" si="7"/>
        <v>Baixo</v>
      </c>
    </row>
    <row r="4" spans="1:23" x14ac:dyDescent="0.25">
      <c r="A4" s="15">
        <v>513</v>
      </c>
      <c r="B4" s="11">
        <f>COUNTIFS(Mesarios!$A$2:$A$112,$A4)</f>
        <v>4</v>
      </c>
      <c r="C4" s="11" t="str">
        <f>IF(COUNTIFS(Mesarios!$A$2:$A$112,$A4,Mesarios!$B$2:$B$112,C$1)&gt;0,"✓","VAGO")</f>
        <v>✓</v>
      </c>
      <c r="D4" s="11" t="str">
        <f>IF(COUNTIFS(Mesarios!$A$2:$A$112,$A4,Mesarios!$B$2:$B$112,D$1)&gt;0,"✓","VAGO")</f>
        <v>✓</v>
      </c>
      <c r="E4" s="11" t="str">
        <f>IF(COUNTIFS(Mesarios!$A$2:$A$112,$A4,Mesarios!$B$2:$B$112,E$1)&gt;0,"✓","VAGO")</f>
        <v>✓</v>
      </c>
      <c r="F4" s="11" t="str">
        <f>IF(COUNTIFS(Mesarios!$A$2:$A$112,$A4,Mesarios!$B$2:$B$112,F$1)&gt;0,"✓","VAGO")</f>
        <v>✓</v>
      </c>
      <c r="G4" s="11">
        <f>COUNTIFS(Mesarios!$A$2:$A$112,$A4,Mesarios!$E$2:$E$112,"SIM")</f>
        <v>3</v>
      </c>
      <c r="H4" s="11">
        <f>COUNTIFS(Mesarios!$A$2:$A$112,$A4,Mesarios!$E$2:$E$112,"NAO")</f>
        <v>1</v>
      </c>
      <c r="I4" s="11">
        <f>COUNTIFS(Mesarios!$A$2:$A$112,$A4,Mesarios!$E$2:$E$112,"0006/2026")+COUNTIFS(Mesarios!$A$2:$A$112,$A4,Mesarios!$E$2:$E$112,"-")</f>
        <v>0</v>
      </c>
      <c r="J4" s="11">
        <f t="shared" si="0"/>
        <v>0</v>
      </c>
      <c r="K4" s="14" t="str">
        <f t="shared" si="1"/>
        <v/>
      </c>
      <c r="L4" s="13">
        <v>1105</v>
      </c>
      <c r="M4" s="12">
        <v>502</v>
      </c>
      <c r="N4" s="12">
        <v>351</v>
      </c>
      <c r="O4" s="11" t="str">
        <f t="shared" si="2"/>
        <v>Baixo</v>
      </c>
      <c r="P4" s="12">
        <v>501</v>
      </c>
      <c r="Q4" s="12">
        <v>190</v>
      </c>
      <c r="R4" s="36">
        <f t="shared" si="3"/>
        <v>311</v>
      </c>
      <c r="S4" s="37">
        <f t="shared" si="4"/>
        <v>0.37924151696606784</v>
      </c>
      <c r="T4" s="38">
        <f t="shared" si="5"/>
        <v>-161</v>
      </c>
      <c r="U4" s="39">
        <f t="shared" si="6"/>
        <v>-0.45868945868945865</v>
      </c>
      <c r="V4" s="40">
        <f>RANK(Q4,$Q$2:$Q$29)+COUNTIF($Q$2:Q4,Q4)-1</f>
        <v>27</v>
      </c>
      <c r="W4" s="11" t="str">
        <f t="shared" si="7"/>
        <v>Baixo</v>
      </c>
    </row>
    <row r="5" spans="1:23" x14ac:dyDescent="0.25">
      <c r="A5" s="15">
        <v>517</v>
      </c>
      <c r="B5" s="11">
        <f>COUNTIFS(Mesarios!$A$2:$A$112,$A5)</f>
        <v>4</v>
      </c>
      <c r="C5" s="11" t="str">
        <f>IF(COUNTIFS(Mesarios!$A$2:$A$112,$A5,Mesarios!$B$2:$B$112,C$1)&gt;0,"✓","VAGO")</f>
        <v>✓</v>
      </c>
      <c r="D5" s="11" t="str">
        <f>IF(COUNTIFS(Mesarios!$A$2:$A$112,$A5,Mesarios!$B$2:$B$112,D$1)&gt;0,"✓","VAGO")</f>
        <v>✓</v>
      </c>
      <c r="E5" s="11" t="str">
        <f>IF(COUNTIFS(Mesarios!$A$2:$A$112,$A5,Mesarios!$B$2:$B$112,E$1)&gt;0,"✓","VAGO")</f>
        <v>✓</v>
      </c>
      <c r="F5" s="11" t="str">
        <f>IF(COUNTIFS(Mesarios!$A$2:$A$112,$A5,Mesarios!$B$2:$B$112,F$1)&gt;0,"✓","VAGO")</f>
        <v>✓</v>
      </c>
      <c r="G5" s="11">
        <f>COUNTIFS(Mesarios!$A$2:$A$112,$A5,Mesarios!$E$2:$E$112,"SIM")</f>
        <v>4</v>
      </c>
      <c r="H5" s="11">
        <f>COUNTIFS(Mesarios!$A$2:$A$112,$A5,Mesarios!$E$2:$E$112,"NAO")</f>
        <v>0</v>
      </c>
      <c r="I5" s="11">
        <f>COUNTIFS(Mesarios!$A$2:$A$112,$A5,Mesarios!$E$2:$E$112,"0006/2026")+COUNTIFS(Mesarios!$A$2:$A$112,$A5,Mesarios!$E$2:$E$112,"-")</f>
        <v>0</v>
      </c>
      <c r="J5" s="11">
        <f t="shared" si="0"/>
        <v>0</v>
      </c>
      <c r="K5" s="14" t="str">
        <f t="shared" si="1"/>
        <v/>
      </c>
      <c r="L5" s="13">
        <v>1292</v>
      </c>
      <c r="M5" s="12">
        <v>513</v>
      </c>
      <c r="N5" s="12">
        <v>348</v>
      </c>
      <c r="O5" s="11" t="str">
        <f t="shared" si="2"/>
        <v>Baixo</v>
      </c>
      <c r="P5" s="12">
        <v>512</v>
      </c>
      <c r="Q5" s="12">
        <v>220</v>
      </c>
      <c r="R5" s="36">
        <f t="shared" si="3"/>
        <v>292</v>
      </c>
      <c r="S5" s="37">
        <f t="shared" si="4"/>
        <v>0.4296875</v>
      </c>
      <c r="T5" s="38">
        <f t="shared" si="5"/>
        <v>-128</v>
      </c>
      <c r="U5" s="39">
        <f t="shared" si="6"/>
        <v>-0.36781609195402298</v>
      </c>
      <c r="V5" s="40">
        <f>RANK(Q5,$Q$2:$Q$29)+COUNTIF($Q$2:Q5,Q5)-1</f>
        <v>23</v>
      </c>
      <c r="W5" s="11" t="str">
        <f t="shared" si="7"/>
        <v>Baixo</v>
      </c>
    </row>
    <row r="6" spans="1:23" x14ac:dyDescent="0.25">
      <c r="A6" s="15">
        <v>1160</v>
      </c>
      <c r="B6" s="11">
        <f>COUNTIFS(Mesarios!$A$2:$A$112,$A6)</f>
        <v>4</v>
      </c>
      <c r="C6" s="11" t="str">
        <f>IF(COUNTIFS(Mesarios!$A$2:$A$112,$A6,Mesarios!$B$2:$B$112,C$1)&gt;0,"✓","VAGO")</f>
        <v>✓</v>
      </c>
      <c r="D6" s="11" t="str">
        <f>IF(COUNTIFS(Mesarios!$A$2:$A$112,$A6,Mesarios!$B$2:$B$112,D$1)&gt;0,"✓","VAGO")</f>
        <v>✓</v>
      </c>
      <c r="E6" s="11" t="str">
        <f>IF(COUNTIFS(Mesarios!$A$2:$A$112,$A6,Mesarios!$B$2:$B$112,E$1)&gt;0,"✓","VAGO")</f>
        <v>✓</v>
      </c>
      <c r="F6" s="11" t="str">
        <f>IF(COUNTIFS(Mesarios!$A$2:$A$112,$A6,Mesarios!$B$2:$B$112,F$1)&gt;0,"✓","VAGO")</f>
        <v>✓</v>
      </c>
      <c r="G6" s="11">
        <f>COUNTIFS(Mesarios!$A$2:$A$112,$A6,Mesarios!$E$2:$E$112,"SIM")</f>
        <v>0</v>
      </c>
      <c r="H6" s="11">
        <f>COUNTIFS(Mesarios!$A$2:$A$112,$A6,Mesarios!$E$2:$E$112,"NAO")</f>
        <v>0</v>
      </c>
      <c r="I6" s="11">
        <f>COUNTIFS(Mesarios!$A$2:$A$112,$A6,Mesarios!$E$2:$E$112,"0006/2026")+COUNTIFS(Mesarios!$A$2:$A$112,$A6,Mesarios!$E$2:$E$112,"-")</f>
        <v>4</v>
      </c>
      <c r="J6" s="11">
        <f t="shared" si="0"/>
        <v>0</v>
      </c>
      <c r="K6" s="14" t="str">
        <f t="shared" si="1"/>
        <v>Só 0 presentes</v>
      </c>
      <c r="L6" s="13">
        <v>3845</v>
      </c>
      <c r="M6" s="12">
        <v>473</v>
      </c>
      <c r="N6" s="12">
        <v>328</v>
      </c>
      <c r="O6" s="11" t="str">
        <f t="shared" si="2"/>
        <v>Baixo</v>
      </c>
      <c r="P6" s="12">
        <v>472</v>
      </c>
      <c r="Q6" s="12">
        <v>239</v>
      </c>
      <c r="R6" s="36">
        <f t="shared" si="3"/>
        <v>233</v>
      </c>
      <c r="S6" s="37">
        <f t="shared" si="4"/>
        <v>0.50635593220338981</v>
      </c>
      <c r="T6" s="38">
        <f t="shared" si="5"/>
        <v>-89</v>
      </c>
      <c r="U6" s="39">
        <f t="shared" si="6"/>
        <v>-0.27134146341463417</v>
      </c>
      <c r="V6" s="40">
        <f>RANK(Q6,$Q$2:$Q$29)+COUNTIF($Q$2:Q6,Q6)-1</f>
        <v>21</v>
      </c>
      <c r="W6" s="11" t="str">
        <f t="shared" si="7"/>
        <v>Baixo</v>
      </c>
    </row>
    <row r="7" spans="1:23" x14ac:dyDescent="0.25">
      <c r="A7" s="15">
        <v>1352</v>
      </c>
      <c r="B7" s="11">
        <f>COUNTIFS(Mesarios!$A$2:$A$112,$A7)</f>
        <v>4</v>
      </c>
      <c r="C7" s="11" t="str">
        <f>IF(COUNTIFS(Mesarios!$A$2:$A$112,$A7,Mesarios!$B$2:$B$112,C$1)&gt;0,"✓","VAGO")</f>
        <v>✓</v>
      </c>
      <c r="D7" s="11" t="str">
        <f>IF(COUNTIFS(Mesarios!$A$2:$A$112,$A7,Mesarios!$B$2:$B$112,D$1)&gt;0,"✓","VAGO")</f>
        <v>✓</v>
      </c>
      <c r="E7" s="11" t="str">
        <f>IF(COUNTIFS(Mesarios!$A$2:$A$112,$A7,Mesarios!$B$2:$B$112,E$1)&gt;0,"✓","VAGO")</f>
        <v>✓</v>
      </c>
      <c r="F7" s="11" t="str">
        <f>IF(COUNTIFS(Mesarios!$A$2:$A$112,$A7,Mesarios!$B$2:$B$112,F$1)&gt;0,"✓","VAGO")</f>
        <v>✓</v>
      </c>
      <c r="G7" s="11">
        <f>COUNTIFS(Mesarios!$A$2:$A$112,$A7,Mesarios!$E$2:$E$112,"SIM")</f>
        <v>4</v>
      </c>
      <c r="H7" s="11">
        <f>COUNTIFS(Mesarios!$A$2:$A$112,$A7,Mesarios!$E$2:$E$112,"NAO")</f>
        <v>0</v>
      </c>
      <c r="I7" s="11">
        <f>COUNTIFS(Mesarios!$A$2:$A$112,$A7,Mesarios!$E$2:$E$112,"0006/2026")+COUNTIFS(Mesarios!$A$2:$A$112,$A7,Mesarios!$E$2:$E$112,"-")</f>
        <v>0</v>
      </c>
      <c r="J7" s="11">
        <f t="shared" si="0"/>
        <v>0</v>
      </c>
      <c r="K7" s="14" t="str">
        <f t="shared" si="1"/>
        <v/>
      </c>
      <c r="L7" s="13">
        <v>522</v>
      </c>
      <c r="M7" s="12">
        <v>462</v>
      </c>
      <c r="N7" s="12">
        <v>328</v>
      </c>
      <c r="O7" s="11" t="str">
        <f t="shared" si="2"/>
        <v>Baixo</v>
      </c>
      <c r="P7" s="12">
        <v>462</v>
      </c>
      <c r="Q7" s="12">
        <v>203</v>
      </c>
      <c r="R7" s="36">
        <f t="shared" si="3"/>
        <v>259</v>
      </c>
      <c r="S7" s="37">
        <f t="shared" si="4"/>
        <v>0.43939393939393939</v>
      </c>
      <c r="T7" s="38">
        <f t="shared" si="5"/>
        <v>-125</v>
      </c>
      <c r="U7" s="39">
        <f t="shared" si="6"/>
        <v>-0.38109756097560976</v>
      </c>
      <c r="V7" s="40">
        <f>RANK(Q7,$Q$2:$Q$29)+COUNTIF($Q$2:Q7,Q7)-1</f>
        <v>26</v>
      </c>
      <c r="W7" s="11" t="str">
        <f t="shared" si="7"/>
        <v>Baixo</v>
      </c>
    </row>
    <row r="8" spans="1:23" x14ac:dyDescent="0.25">
      <c r="A8" s="15">
        <v>3054</v>
      </c>
      <c r="B8" s="11">
        <f>COUNTIFS(Mesarios!$A$2:$A$112,$A8)</f>
        <v>4</v>
      </c>
      <c r="C8" s="11" t="str">
        <f>IF(COUNTIFS(Mesarios!$A$2:$A$112,$A8,Mesarios!$B$2:$B$112,C$1)&gt;0,"✓","VAGO")</f>
        <v>✓</v>
      </c>
      <c r="D8" s="11" t="str">
        <f>IF(COUNTIFS(Mesarios!$A$2:$A$112,$A8,Mesarios!$B$2:$B$112,D$1)&gt;0,"✓","VAGO")</f>
        <v>✓</v>
      </c>
      <c r="E8" s="11" t="str">
        <f>IF(COUNTIFS(Mesarios!$A$2:$A$112,$A8,Mesarios!$B$2:$B$112,E$1)&gt;0,"✓","VAGO")</f>
        <v>✓</v>
      </c>
      <c r="F8" s="11" t="str">
        <f>IF(COUNTIFS(Mesarios!$A$2:$A$112,$A8,Mesarios!$B$2:$B$112,F$1)&gt;0,"✓","VAGO")</f>
        <v>✓</v>
      </c>
      <c r="G8" s="11">
        <f>COUNTIFS(Mesarios!$A$2:$A$112,$A8,Mesarios!$E$2:$E$112,"SIM")</f>
        <v>2</v>
      </c>
      <c r="H8" s="11">
        <f>COUNTIFS(Mesarios!$A$2:$A$112,$A8,Mesarios!$E$2:$E$112,"NAO")</f>
        <v>2</v>
      </c>
      <c r="I8" s="11">
        <f>COUNTIFS(Mesarios!$A$2:$A$112,$A8,Mesarios!$E$2:$E$112,"0006/2026")+COUNTIFS(Mesarios!$A$2:$A$112,$A8,Mesarios!$E$2:$E$112,"-")</f>
        <v>0</v>
      </c>
      <c r="J8" s="11">
        <f t="shared" si="0"/>
        <v>0</v>
      </c>
      <c r="K8" s="14" t="str">
        <f t="shared" si="1"/>
        <v>Só 2 presentes</v>
      </c>
      <c r="L8" s="13">
        <v>1099</v>
      </c>
      <c r="M8" s="12">
        <v>454</v>
      </c>
      <c r="N8" s="12">
        <v>325</v>
      </c>
      <c r="O8" s="11" t="str">
        <f t="shared" si="2"/>
        <v>Baixo</v>
      </c>
      <c r="P8" s="12">
        <v>452</v>
      </c>
      <c r="Q8" s="12">
        <v>256</v>
      </c>
      <c r="R8" s="36">
        <f t="shared" si="3"/>
        <v>196</v>
      </c>
      <c r="S8" s="37">
        <f t="shared" si="4"/>
        <v>0.5663716814159292</v>
      </c>
      <c r="T8" s="38">
        <f t="shared" si="5"/>
        <v>-69</v>
      </c>
      <c r="U8" s="39">
        <f t="shared" si="6"/>
        <v>-0.21230769230769231</v>
      </c>
      <c r="V8" s="40">
        <f>RANK(Q8,$Q$2:$Q$29)+COUNTIF($Q$2:Q8,Q8)-1</f>
        <v>20</v>
      </c>
      <c r="W8" s="11" t="str">
        <f t="shared" si="7"/>
        <v>Baixo</v>
      </c>
    </row>
    <row r="9" spans="1:23" x14ac:dyDescent="0.25">
      <c r="A9" s="15">
        <v>3078</v>
      </c>
      <c r="B9" s="11">
        <f>COUNTIFS(Mesarios!$A$2:$A$112,$A9)</f>
        <v>4</v>
      </c>
      <c r="C9" s="11" t="str">
        <f>IF(COUNTIFS(Mesarios!$A$2:$A$112,$A9,Mesarios!$B$2:$B$112,C$1)&gt;0,"✓","VAGO")</f>
        <v>✓</v>
      </c>
      <c r="D9" s="11" t="str">
        <f>IF(COUNTIFS(Mesarios!$A$2:$A$112,$A9,Mesarios!$B$2:$B$112,D$1)&gt;0,"✓","VAGO")</f>
        <v>✓</v>
      </c>
      <c r="E9" s="11" t="str">
        <f>IF(COUNTIFS(Mesarios!$A$2:$A$112,$A9,Mesarios!$B$2:$B$112,E$1)&gt;0,"✓","VAGO")</f>
        <v>✓</v>
      </c>
      <c r="F9" s="11" t="str">
        <f>IF(COUNTIFS(Mesarios!$A$2:$A$112,$A9,Mesarios!$B$2:$B$112,F$1)&gt;0,"✓","VAGO")</f>
        <v>✓</v>
      </c>
      <c r="G9" s="11">
        <f>COUNTIFS(Mesarios!$A$2:$A$112,$A9,Mesarios!$E$2:$E$112,"SIM")</f>
        <v>4</v>
      </c>
      <c r="H9" s="11">
        <f>COUNTIFS(Mesarios!$A$2:$A$112,$A9,Mesarios!$E$2:$E$112,"NAO")</f>
        <v>0</v>
      </c>
      <c r="I9" s="11">
        <f>COUNTIFS(Mesarios!$A$2:$A$112,$A9,Mesarios!$E$2:$E$112,"0006/2026")+COUNTIFS(Mesarios!$A$2:$A$112,$A9,Mesarios!$E$2:$E$112,"-")</f>
        <v>0</v>
      </c>
      <c r="J9" s="11">
        <f t="shared" si="0"/>
        <v>0</v>
      </c>
      <c r="K9" s="14" t="str">
        <f t="shared" si="1"/>
        <v/>
      </c>
      <c r="L9" s="13">
        <v>2847</v>
      </c>
      <c r="M9" s="12">
        <v>429</v>
      </c>
      <c r="N9" s="12">
        <v>311</v>
      </c>
      <c r="O9" s="11" t="str">
        <f t="shared" si="2"/>
        <v>Baixo</v>
      </c>
      <c r="P9" s="12">
        <v>427</v>
      </c>
      <c r="Q9" s="12">
        <v>259</v>
      </c>
      <c r="R9" s="36">
        <f t="shared" si="3"/>
        <v>168</v>
      </c>
      <c r="S9" s="37">
        <f t="shared" si="4"/>
        <v>0.60655737704918034</v>
      </c>
      <c r="T9" s="38">
        <f t="shared" si="5"/>
        <v>-52</v>
      </c>
      <c r="U9" s="39">
        <f t="shared" si="6"/>
        <v>-0.16720257234726688</v>
      </c>
      <c r="V9" s="40">
        <f>RANK(Q9,$Q$2:$Q$29)+COUNTIF($Q$2:Q9,Q9)-1</f>
        <v>19</v>
      </c>
      <c r="W9" s="11" t="str">
        <f t="shared" si="7"/>
        <v>Baixo</v>
      </c>
    </row>
    <row r="10" spans="1:23" x14ac:dyDescent="0.25">
      <c r="A10" s="15">
        <v>3108</v>
      </c>
      <c r="B10" s="11">
        <f>COUNTIFS(Mesarios!$A$2:$A$112,$A10)</f>
        <v>4</v>
      </c>
      <c r="C10" s="11" t="str">
        <f>IF(COUNTIFS(Mesarios!$A$2:$A$112,$A10,Mesarios!$B$2:$B$112,C$1)&gt;0,"✓","VAGO")</f>
        <v>✓</v>
      </c>
      <c r="D10" s="11" t="str">
        <f>IF(COUNTIFS(Mesarios!$A$2:$A$112,$A10,Mesarios!$B$2:$B$112,D$1)&gt;0,"✓","VAGO")</f>
        <v>✓</v>
      </c>
      <c r="E10" s="11" t="str">
        <f>IF(COUNTIFS(Mesarios!$A$2:$A$112,$A10,Mesarios!$B$2:$B$112,E$1)&gt;0,"✓","VAGO")</f>
        <v>✓</v>
      </c>
      <c r="F10" s="11" t="str">
        <f>IF(COUNTIFS(Mesarios!$A$2:$A$112,$A10,Mesarios!$B$2:$B$112,F$1)&gt;0,"✓","VAGO")</f>
        <v>✓</v>
      </c>
      <c r="G10" s="11">
        <f>COUNTIFS(Mesarios!$A$2:$A$112,$A10,Mesarios!$E$2:$E$112,"SIM")</f>
        <v>4</v>
      </c>
      <c r="H10" s="11">
        <f>COUNTIFS(Mesarios!$A$2:$A$112,$A10,Mesarios!$E$2:$E$112,"NAO")</f>
        <v>0</v>
      </c>
      <c r="I10" s="11">
        <f>COUNTIFS(Mesarios!$A$2:$A$112,$A10,Mesarios!$E$2:$E$112,"0006/2026")+COUNTIFS(Mesarios!$A$2:$A$112,$A10,Mesarios!$E$2:$E$112,"-")</f>
        <v>0</v>
      </c>
      <c r="J10" s="11">
        <f t="shared" si="0"/>
        <v>0</v>
      </c>
      <c r="K10" s="14" t="str">
        <f t="shared" si="1"/>
        <v/>
      </c>
      <c r="L10" s="13">
        <v>3422</v>
      </c>
      <c r="M10" s="12">
        <v>756</v>
      </c>
      <c r="N10" s="12">
        <v>467</v>
      </c>
      <c r="O10" s="11" t="str">
        <f t="shared" si="2"/>
        <v>Médio</v>
      </c>
      <c r="P10" s="12">
        <v>752</v>
      </c>
      <c r="Q10" s="12">
        <v>320</v>
      </c>
      <c r="R10" s="36">
        <f t="shared" si="3"/>
        <v>432</v>
      </c>
      <c r="S10" s="37">
        <f t="shared" si="4"/>
        <v>0.42553191489361702</v>
      </c>
      <c r="T10" s="38">
        <f t="shared" si="5"/>
        <v>-147</v>
      </c>
      <c r="U10" s="39">
        <f t="shared" si="6"/>
        <v>-0.31477516059957178</v>
      </c>
      <c r="V10" s="40">
        <f>RANK(Q10,$Q$2:$Q$29)+COUNTIF($Q$2:Q10,Q10)-1</f>
        <v>10</v>
      </c>
      <c r="W10" s="11" t="str">
        <f t="shared" si="7"/>
        <v>Baixo</v>
      </c>
    </row>
    <row r="11" spans="1:23" x14ac:dyDescent="0.25">
      <c r="A11" s="15">
        <v>3142</v>
      </c>
      <c r="B11" s="11">
        <f>COUNTIFS(Mesarios!$A$2:$A$112,$A11)</f>
        <v>4</v>
      </c>
      <c r="C11" s="11" t="str">
        <f>IF(COUNTIFS(Mesarios!$A$2:$A$112,$A11,Mesarios!$B$2:$B$112,C$1)&gt;0,"✓","VAGO")</f>
        <v>✓</v>
      </c>
      <c r="D11" s="11" t="str">
        <f>IF(COUNTIFS(Mesarios!$A$2:$A$112,$A11,Mesarios!$B$2:$B$112,D$1)&gt;0,"✓","VAGO")</f>
        <v>✓</v>
      </c>
      <c r="E11" s="11" t="str">
        <f>IF(COUNTIFS(Mesarios!$A$2:$A$112,$A11,Mesarios!$B$2:$B$112,E$1)&gt;0,"✓","VAGO")</f>
        <v>✓</v>
      </c>
      <c r="F11" s="11" t="str">
        <f>IF(COUNTIFS(Mesarios!$A$2:$A$112,$A11,Mesarios!$B$2:$B$112,F$1)&gt;0,"✓","VAGO")</f>
        <v>✓</v>
      </c>
      <c r="G11" s="11">
        <f>COUNTIFS(Mesarios!$A$2:$A$112,$A11,Mesarios!$E$2:$E$112,"SIM")</f>
        <v>4</v>
      </c>
      <c r="H11" s="11">
        <f>COUNTIFS(Mesarios!$A$2:$A$112,$A11,Mesarios!$E$2:$E$112,"NAO")</f>
        <v>0</v>
      </c>
      <c r="I11" s="11">
        <f>COUNTIFS(Mesarios!$A$2:$A$112,$A11,Mesarios!$E$2:$E$112,"0006/2026")+COUNTIFS(Mesarios!$A$2:$A$112,$A11,Mesarios!$E$2:$E$112,"-")</f>
        <v>0</v>
      </c>
      <c r="J11" s="11">
        <f t="shared" si="0"/>
        <v>0</v>
      </c>
      <c r="K11" s="14" t="str">
        <f t="shared" si="1"/>
        <v/>
      </c>
      <c r="L11" s="13">
        <v>1278</v>
      </c>
      <c r="M11" s="12">
        <v>793</v>
      </c>
      <c r="N11" s="12">
        <v>466</v>
      </c>
      <c r="O11" s="11" t="str">
        <f t="shared" si="2"/>
        <v>Médio</v>
      </c>
      <c r="P11" s="12">
        <v>787</v>
      </c>
      <c r="Q11" s="12">
        <v>318</v>
      </c>
      <c r="R11" s="36">
        <f t="shared" si="3"/>
        <v>469</v>
      </c>
      <c r="S11" s="37">
        <f t="shared" si="4"/>
        <v>0.40406607369758579</v>
      </c>
      <c r="T11" s="38">
        <f t="shared" si="5"/>
        <v>-148</v>
      </c>
      <c r="U11" s="39">
        <f t="shared" si="6"/>
        <v>-0.31759656652360513</v>
      </c>
      <c r="V11" s="40">
        <f>RANK(Q11,$Q$2:$Q$29)+COUNTIF($Q$2:Q11,Q11)-1</f>
        <v>11</v>
      </c>
      <c r="W11" s="11" t="str">
        <f t="shared" si="7"/>
        <v>Baixo</v>
      </c>
    </row>
    <row r="12" spans="1:23" x14ac:dyDescent="0.25">
      <c r="A12" s="15">
        <v>3161</v>
      </c>
      <c r="B12" s="11">
        <f>COUNTIFS(Mesarios!$A$2:$A$112,$A12)</f>
        <v>4</v>
      </c>
      <c r="C12" s="11" t="str">
        <f>IF(COUNTIFS(Mesarios!$A$2:$A$112,$A12,Mesarios!$B$2:$B$112,C$1)&gt;0,"✓","VAGO")</f>
        <v>✓</v>
      </c>
      <c r="D12" s="11" t="str">
        <f>IF(COUNTIFS(Mesarios!$A$2:$A$112,$A12,Mesarios!$B$2:$B$112,D$1)&gt;0,"✓","VAGO")</f>
        <v>✓</v>
      </c>
      <c r="E12" s="11" t="str">
        <f>IF(COUNTIFS(Mesarios!$A$2:$A$112,$A12,Mesarios!$B$2:$B$112,E$1)&gt;0,"✓","VAGO")</f>
        <v>✓</v>
      </c>
      <c r="F12" s="11" t="str">
        <f>IF(COUNTIFS(Mesarios!$A$2:$A$112,$A12,Mesarios!$B$2:$B$112,F$1)&gt;0,"✓","VAGO")</f>
        <v>✓</v>
      </c>
      <c r="G12" s="11">
        <f>COUNTIFS(Mesarios!$A$2:$A$112,$A12,Mesarios!$E$2:$E$112,"SIM")</f>
        <v>3</v>
      </c>
      <c r="H12" s="11">
        <f>COUNTIFS(Mesarios!$A$2:$A$112,$A12,Mesarios!$E$2:$E$112,"NAO")</f>
        <v>1</v>
      </c>
      <c r="I12" s="11">
        <f>COUNTIFS(Mesarios!$A$2:$A$112,$A12,Mesarios!$E$2:$E$112,"0006/2026")+COUNTIFS(Mesarios!$A$2:$A$112,$A12,Mesarios!$E$2:$E$112,"-")</f>
        <v>0</v>
      </c>
      <c r="J12" s="11">
        <f t="shared" si="0"/>
        <v>0</v>
      </c>
      <c r="K12" s="14" t="str">
        <f t="shared" si="1"/>
        <v/>
      </c>
      <c r="L12" s="13">
        <v>3307</v>
      </c>
      <c r="M12" s="12">
        <v>791</v>
      </c>
      <c r="N12" s="12">
        <v>504</v>
      </c>
      <c r="O12" s="11" t="str">
        <f t="shared" si="2"/>
        <v>Médio</v>
      </c>
      <c r="P12" s="12">
        <v>787</v>
      </c>
      <c r="Q12" s="12">
        <v>328</v>
      </c>
      <c r="R12" s="36">
        <f t="shared" si="3"/>
        <v>459</v>
      </c>
      <c r="S12" s="37">
        <f t="shared" si="4"/>
        <v>0.41677255400254132</v>
      </c>
      <c r="T12" s="38">
        <f t="shared" si="5"/>
        <v>-176</v>
      </c>
      <c r="U12" s="39">
        <f t="shared" si="6"/>
        <v>-0.34920634920634919</v>
      </c>
      <c r="V12" s="40">
        <f>RANK(Q12,$Q$2:$Q$29)+COUNTIF($Q$2:Q12,Q12)-1</f>
        <v>8</v>
      </c>
      <c r="W12" s="11" t="str">
        <f t="shared" si="7"/>
        <v>Baixo</v>
      </c>
    </row>
    <row r="13" spans="1:23" x14ac:dyDescent="0.25">
      <c r="A13" s="15">
        <v>3179</v>
      </c>
      <c r="B13" s="11">
        <f>COUNTIFS(Mesarios!$A$2:$A$112,$A13)</f>
        <v>4</v>
      </c>
      <c r="C13" s="11" t="str">
        <f>IF(COUNTIFS(Mesarios!$A$2:$A$112,$A13,Mesarios!$B$2:$B$112,C$1)&gt;0,"✓","VAGO")</f>
        <v>✓</v>
      </c>
      <c r="D13" s="11" t="str">
        <f>IF(COUNTIFS(Mesarios!$A$2:$A$112,$A13,Mesarios!$B$2:$B$112,D$1)&gt;0,"✓","VAGO")</f>
        <v>✓</v>
      </c>
      <c r="E13" s="11" t="str">
        <f>IF(COUNTIFS(Mesarios!$A$2:$A$112,$A13,Mesarios!$B$2:$B$112,E$1)&gt;0,"✓","VAGO")</f>
        <v>✓</v>
      </c>
      <c r="F13" s="11" t="str">
        <f>IF(COUNTIFS(Mesarios!$A$2:$A$112,$A13,Mesarios!$B$2:$B$112,F$1)&gt;0,"✓","VAGO")</f>
        <v>✓</v>
      </c>
      <c r="G13" s="11">
        <f>COUNTIFS(Mesarios!$A$2:$A$112,$A13,Mesarios!$E$2:$E$112,"SIM")</f>
        <v>2</v>
      </c>
      <c r="H13" s="11">
        <f>COUNTIFS(Mesarios!$A$2:$A$112,$A13,Mesarios!$E$2:$E$112,"NAO")</f>
        <v>2</v>
      </c>
      <c r="I13" s="11">
        <f>COUNTIFS(Mesarios!$A$2:$A$112,$A13,Mesarios!$E$2:$E$112,"0006/2026")+COUNTIFS(Mesarios!$A$2:$A$112,$A13,Mesarios!$E$2:$E$112,"-")</f>
        <v>0</v>
      </c>
      <c r="J13" s="11">
        <f t="shared" si="0"/>
        <v>0</v>
      </c>
      <c r="K13" s="14" t="str">
        <f t="shared" si="1"/>
        <v>Só 2 presentes</v>
      </c>
      <c r="L13" s="13">
        <v>530</v>
      </c>
      <c r="M13" s="12">
        <v>676</v>
      </c>
      <c r="N13" s="12">
        <v>423</v>
      </c>
      <c r="O13" s="11" t="str">
        <f t="shared" si="2"/>
        <v>Baixo</v>
      </c>
      <c r="P13" s="12">
        <v>670</v>
      </c>
      <c r="Q13" s="12">
        <v>349</v>
      </c>
      <c r="R13" s="36">
        <f t="shared" si="3"/>
        <v>321</v>
      </c>
      <c r="S13" s="37">
        <f t="shared" si="4"/>
        <v>0.5208955223880597</v>
      </c>
      <c r="T13" s="38">
        <f t="shared" si="5"/>
        <v>-74</v>
      </c>
      <c r="U13" s="39">
        <f t="shared" si="6"/>
        <v>-0.17494089834515369</v>
      </c>
      <c r="V13" s="40">
        <f>RANK(Q13,$Q$2:$Q$29)+COUNTIF($Q$2:Q13,Q13)-1</f>
        <v>6</v>
      </c>
      <c r="W13" s="11" t="str">
        <f t="shared" si="7"/>
        <v>Médio</v>
      </c>
    </row>
    <row r="14" spans="1:23" x14ac:dyDescent="0.25">
      <c r="A14" s="15">
        <v>3216</v>
      </c>
      <c r="B14" s="11">
        <f>COUNTIFS(Mesarios!$A$2:$A$112,$A14)</f>
        <v>4</v>
      </c>
      <c r="C14" s="11" t="str">
        <f>IF(COUNTIFS(Mesarios!$A$2:$A$112,$A14,Mesarios!$B$2:$B$112,C$1)&gt;0,"✓","VAGO")</f>
        <v>✓</v>
      </c>
      <c r="D14" s="11" t="str">
        <f>IF(COUNTIFS(Mesarios!$A$2:$A$112,$A14,Mesarios!$B$2:$B$112,D$1)&gt;0,"✓","VAGO")</f>
        <v>✓</v>
      </c>
      <c r="E14" s="11" t="str">
        <f>IF(COUNTIFS(Mesarios!$A$2:$A$112,$A14,Mesarios!$B$2:$B$112,E$1)&gt;0,"✓","VAGO")</f>
        <v>✓</v>
      </c>
      <c r="F14" s="11" t="str">
        <f>IF(COUNTIFS(Mesarios!$A$2:$A$112,$A14,Mesarios!$B$2:$B$112,F$1)&gt;0,"✓","VAGO")</f>
        <v>✓</v>
      </c>
      <c r="G14" s="11">
        <f>COUNTIFS(Mesarios!$A$2:$A$112,$A14,Mesarios!$E$2:$E$112,"SIM")</f>
        <v>4</v>
      </c>
      <c r="H14" s="11">
        <f>COUNTIFS(Mesarios!$A$2:$A$112,$A14,Mesarios!$E$2:$E$112,"NAO")</f>
        <v>0</v>
      </c>
      <c r="I14" s="11">
        <f>COUNTIFS(Mesarios!$A$2:$A$112,$A14,Mesarios!$E$2:$E$112,"0006/2026")+COUNTIFS(Mesarios!$A$2:$A$112,$A14,Mesarios!$E$2:$E$112,"-")</f>
        <v>0</v>
      </c>
      <c r="J14" s="11">
        <f t="shared" si="0"/>
        <v>0</v>
      </c>
      <c r="K14" s="14" t="str">
        <f t="shared" si="1"/>
        <v/>
      </c>
      <c r="L14" s="13">
        <v>527</v>
      </c>
      <c r="M14" s="12">
        <v>571</v>
      </c>
      <c r="N14" s="12">
        <v>407</v>
      </c>
      <c r="O14" s="11" t="str">
        <f t="shared" si="2"/>
        <v>Baixo</v>
      </c>
      <c r="P14" s="12">
        <v>568</v>
      </c>
      <c r="Q14" s="12">
        <v>278</v>
      </c>
      <c r="R14" s="36">
        <f t="shared" si="3"/>
        <v>290</v>
      </c>
      <c r="S14" s="37">
        <f t="shared" si="4"/>
        <v>0.48943661971830987</v>
      </c>
      <c r="T14" s="38">
        <f t="shared" si="5"/>
        <v>-129</v>
      </c>
      <c r="U14" s="39">
        <f t="shared" si="6"/>
        <v>-0.31695331695331697</v>
      </c>
      <c r="V14" s="40">
        <f>RANK(Q14,$Q$2:$Q$29)+COUNTIF($Q$2:Q14,Q14)-1</f>
        <v>15</v>
      </c>
      <c r="W14" s="11" t="str">
        <f t="shared" si="7"/>
        <v>Baixo</v>
      </c>
    </row>
    <row r="15" spans="1:23" x14ac:dyDescent="0.25">
      <c r="A15" s="15">
        <v>3229</v>
      </c>
      <c r="B15" s="11">
        <f>COUNTIFS(Mesarios!$A$2:$A$112,$A15)</f>
        <v>4</v>
      </c>
      <c r="C15" s="11" t="str">
        <f>IF(COUNTIFS(Mesarios!$A$2:$A$112,$A15,Mesarios!$B$2:$B$112,C$1)&gt;0,"✓","VAGO")</f>
        <v>✓</v>
      </c>
      <c r="D15" s="11" t="str">
        <f>IF(COUNTIFS(Mesarios!$A$2:$A$112,$A15,Mesarios!$B$2:$B$112,D$1)&gt;0,"✓","VAGO")</f>
        <v>✓</v>
      </c>
      <c r="E15" s="11" t="str">
        <f>IF(COUNTIFS(Mesarios!$A$2:$A$112,$A15,Mesarios!$B$2:$B$112,E$1)&gt;0,"✓","VAGO")</f>
        <v>✓</v>
      </c>
      <c r="F15" s="11" t="str">
        <f>IF(COUNTIFS(Mesarios!$A$2:$A$112,$A15,Mesarios!$B$2:$B$112,F$1)&gt;0,"✓","VAGO")</f>
        <v>✓</v>
      </c>
      <c r="G15" s="11">
        <f>COUNTIFS(Mesarios!$A$2:$A$112,$A15,Mesarios!$E$2:$E$112,"SIM")</f>
        <v>4</v>
      </c>
      <c r="H15" s="11">
        <f>COUNTIFS(Mesarios!$A$2:$A$112,$A15,Mesarios!$E$2:$E$112,"NAO")</f>
        <v>0</v>
      </c>
      <c r="I15" s="11">
        <f>COUNTIFS(Mesarios!$A$2:$A$112,$A15,Mesarios!$E$2:$E$112,"0006/2026")+COUNTIFS(Mesarios!$A$2:$A$112,$A15,Mesarios!$E$2:$E$112,"-")</f>
        <v>0</v>
      </c>
      <c r="J15" s="11">
        <f t="shared" si="0"/>
        <v>0</v>
      </c>
      <c r="K15" s="14" t="str">
        <f t="shared" si="1"/>
        <v/>
      </c>
      <c r="L15" s="13">
        <v>3821</v>
      </c>
      <c r="M15" s="12">
        <v>606</v>
      </c>
      <c r="N15" s="12">
        <v>405</v>
      </c>
      <c r="O15" s="11" t="str">
        <f t="shared" si="2"/>
        <v>Baixo</v>
      </c>
      <c r="P15" s="12">
        <v>601</v>
      </c>
      <c r="Q15" s="12">
        <v>318</v>
      </c>
      <c r="R15" s="36">
        <f t="shared" si="3"/>
        <v>283</v>
      </c>
      <c r="S15" s="37">
        <f t="shared" si="4"/>
        <v>0.52911813643926786</v>
      </c>
      <c r="T15" s="38">
        <f t="shared" si="5"/>
        <v>-87</v>
      </c>
      <c r="U15" s="39">
        <f t="shared" si="6"/>
        <v>-0.21481481481481479</v>
      </c>
      <c r="V15" s="40">
        <f>RANK(Q15,$Q$2:$Q$29)+COUNTIF($Q$2:Q15,Q15)-1</f>
        <v>12</v>
      </c>
      <c r="W15" s="11" t="str">
        <f t="shared" si="7"/>
        <v>Baixo</v>
      </c>
    </row>
    <row r="16" spans="1:23" x14ac:dyDescent="0.25">
      <c r="A16" s="15">
        <v>3245</v>
      </c>
      <c r="B16" s="11">
        <f>COUNTIFS(Mesarios!$A$2:$A$112,$A16)</f>
        <v>4</v>
      </c>
      <c r="C16" s="11" t="str">
        <f>IF(COUNTIFS(Mesarios!$A$2:$A$112,$A16,Mesarios!$B$2:$B$112,C$1)&gt;0,"✓","VAGO")</f>
        <v>✓</v>
      </c>
      <c r="D16" s="11" t="str">
        <f>IF(COUNTIFS(Mesarios!$A$2:$A$112,$A16,Mesarios!$B$2:$B$112,D$1)&gt;0,"✓","VAGO")</f>
        <v>✓</v>
      </c>
      <c r="E16" s="11" t="str">
        <f>IF(COUNTIFS(Mesarios!$A$2:$A$112,$A16,Mesarios!$B$2:$B$112,E$1)&gt;0,"✓","VAGO")</f>
        <v>✓</v>
      </c>
      <c r="F16" s="11" t="str">
        <f>IF(COUNTIFS(Mesarios!$A$2:$A$112,$A16,Mesarios!$B$2:$B$112,F$1)&gt;0,"✓","VAGO")</f>
        <v>✓</v>
      </c>
      <c r="G16" s="11">
        <f>COUNTIFS(Mesarios!$A$2:$A$112,$A16,Mesarios!$E$2:$E$112,"SIM")</f>
        <v>0</v>
      </c>
      <c r="H16" s="11">
        <f>COUNTIFS(Mesarios!$A$2:$A$112,$A16,Mesarios!$E$2:$E$112,"NAO")</f>
        <v>0</v>
      </c>
      <c r="I16" s="11">
        <f>COUNTIFS(Mesarios!$A$2:$A$112,$A16,Mesarios!$E$2:$E$112,"0006/2026")+COUNTIFS(Mesarios!$A$2:$A$112,$A16,Mesarios!$E$2:$E$112,"-")</f>
        <v>4</v>
      </c>
      <c r="J16" s="11">
        <f t="shared" si="0"/>
        <v>0</v>
      </c>
      <c r="K16" s="14" t="str">
        <f t="shared" si="1"/>
        <v>Só 0 presentes</v>
      </c>
      <c r="L16" s="13">
        <v>519</v>
      </c>
      <c r="M16" s="12">
        <v>781</v>
      </c>
      <c r="N16" s="12">
        <v>498</v>
      </c>
      <c r="O16" s="11" t="str">
        <f t="shared" si="2"/>
        <v>Médio</v>
      </c>
      <c r="P16" s="12">
        <v>778</v>
      </c>
      <c r="Q16" s="12">
        <v>322</v>
      </c>
      <c r="R16" s="36">
        <f t="shared" si="3"/>
        <v>456</v>
      </c>
      <c r="S16" s="37">
        <f t="shared" si="4"/>
        <v>0.41388174807197942</v>
      </c>
      <c r="T16" s="38">
        <f t="shared" si="5"/>
        <v>-176</v>
      </c>
      <c r="U16" s="39">
        <f t="shared" si="6"/>
        <v>-0.35341365461847385</v>
      </c>
      <c r="V16" s="40">
        <f>RANK(Q16,$Q$2:$Q$29)+COUNTIF($Q$2:Q16,Q16)-1</f>
        <v>9</v>
      </c>
      <c r="W16" s="11" t="str">
        <f t="shared" si="7"/>
        <v>Baixo</v>
      </c>
    </row>
    <row r="17" spans="1:23" x14ac:dyDescent="0.25">
      <c r="A17" s="15">
        <v>3302</v>
      </c>
      <c r="B17" s="11">
        <f>COUNTIFS(Mesarios!$A$2:$A$112,$A17)</f>
        <v>4</v>
      </c>
      <c r="C17" s="11" t="str">
        <f>IF(COUNTIFS(Mesarios!$A$2:$A$112,$A17,Mesarios!$B$2:$B$112,C$1)&gt;0,"✓","VAGO")</f>
        <v>✓</v>
      </c>
      <c r="D17" s="11" t="str">
        <f>IF(COUNTIFS(Mesarios!$A$2:$A$112,$A17,Mesarios!$B$2:$B$112,D$1)&gt;0,"✓","VAGO")</f>
        <v>✓</v>
      </c>
      <c r="E17" s="11" t="str">
        <f>IF(COUNTIFS(Mesarios!$A$2:$A$112,$A17,Mesarios!$B$2:$B$112,E$1)&gt;0,"✓","VAGO")</f>
        <v>✓</v>
      </c>
      <c r="F17" s="11" t="str">
        <f>IF(COUNTIFS(Mesarios!$A$2:$A$112,$A17,Mesarios!$B$2:$B$112,F$1)&gt;0,"✓","VAGO")</f>
        <v>✓</v>
      </c>
      <c r="G17" s="11">
        <f>COUNTIFS(Mesarios!$A$2:$A$112,$A17,Mesarios!$E$2:$E$112,"SIM")</f>
        <v>4</v>
      </c>
      <c r="H17" s="11">
        <f>COUNTIFS(Mesarios!$A$2:$A$112,$A17,Mesarios!$E$2:$E$112,"NAO")</f>
        <v>0</v>
      </c>
      <c r="I17" s="11">
        <f>COUNTIFS(Mesarios!$A$2:$A$112,$A17,Mesarios!$E$2:$E$112,"0006/2026")+COUNTIFS(Mesarios!$A$2:$A$112,$A17,Mesarios!$E$2:$E$112,"-")</f>
        <v>0</v>
      </c>
      <c r="J17" s="11">
        <f t="shared" si="0"/>
        <v>0</v>
      </c>
      <c r="K17" s="14" t="str">
        <f t="shared" si="1"/>
        <v/>
      </c>
      <c r="L17" s="13">
        <v>3181</v>
      </c>
      <c r="M17" s="12">
        <v>771</v>
      </c>
      <c r="N17" s="12">
        <v>518</v>
      </c>
      <c r="O17" s="11" t="str">
        <f t="shared" si="2"/>
        <v>Médio</v>
      </c>
      <c r="P17" s="12">
        <v>763</v>
      </c>
      <c r="Q17" s="12">
        <v>373</v>
      </c>
      <c r="R17" s="36">
        <f t="shared" si="3"/>
        <v>390</v>
      </c>
      <c r="S17" s="37">
        <f t="shared" si="4"/>
        <v>0.48885976408912191</v>
      </c>
      <c r="T17" s="38">
        <f t="shared" si="5"/>
        <v>-145</v>
      </c>
      <c r="U17" s="39">
        <f t="shared" si="6"/>
        <v>-0.27992277992277992</v>
      </c>
      <c r="V17" s="40">
        <f>RANK(Q17,$Q$2:$Q$29)+COUNTIF($Q$2:Q17,Q17)-1</f>
        <v>5</v>
      </c>
      <c r="W17" s="11" t="str">
        <f t="shared" si="7"/>
        <v>Médio</v>
      </c>
    </row>
    <row r="18" spans="1:23" x14ac:dyDescent="0.25">
      <c r="A18" s="15">
        <v>3305</v>
      </c>
      <c r="B18" s="11">
        <f>COUNTIFS(Mesarios!$A$2:$A$112,$A18)</f>
        <v>4</v>
      </c>
      <c r="C18" s="11" t="str">
        <f>IF(COUNTIFS(Mesarios!$A$2:$A$112,$A18,Mesarios!$B$2:$B$112,C$1)&gt;0,"✓","VAGO")</f>
        <v>✓</v>
      </c>
      <c r="D18" s="11" t="str">
        <f>IF(COUNTIFS(Mesarios!$A$2:$A$112,$A18,Mesarios!$B$2:$B$112,D$1)&gt;0,"✓","VAGO")</f>
        <v>✓</v>
      </c>
      <c r="E18" s="11" t="str">
        <f>IF(COUNTIFS(Mesarios!$A$2:$A$112,$A18,Mesarios!$B$2:$B$112,E$1)&gt;0,"✓","VAGO")</f>
        <v>✓</v>
      </c>
      <c r="F18" s="11" t="str">
        <f>IF(COUNTIFS(Mesarios!$A$2:$A$112,$A18,Mesarios!$B$2:$B$112,F$1)&gt;0,"✓","VAGO")</f>
        <v>✓</v>
      </c>
      <c r="G18" s="11">
        <f>COUNTIFS(Mesarios!$A$2:$A$112,$A18,Mesarios!$E$2:$E$112,"SIM")</f>
        <v>0</v>
      </c>
      <c r="H18" s="11">
        <f>COUNTIFS(Mesarios!$A$2:$A$112,$A18,Mesarios!$E$2:$E$112,"NAO")</f>
        <v>0</v>
      </c>
      <c r="I18" s="11">
        <f>COUNTIFS(Mesarios!$A$2:$A$112,$A18,Mesarios!$E$2:$E$112,"0006/2026")+COUNTIFS(Mesarios!$A$2:$A$112,$A18,Mesarios!$E$2:$E$112,"-")</f>
        <v>4</v>
      </c>
      <c r="J18" s="11">
        <f t="shared" si="0"/>
        <v>0</v>
      </c>
      <c r="K18" s="14" t="str">
        <f t="shared" si="1"/>
        <v>Só 0 presentes</v>
      </c>
      <c r="L18" s="13">
        <v>521</v>
      </c>
      <c r="M18" s="12">
        <v>767</v>
      </c>
      <c r="N18" s="12">
        <v>472</v>
      </c>
      <c r="O18" s="11" t="str">
        <f t="shared" si="2"/>
        <v>Médio</v>
      </c>
      <c r="P18" s="12">
        <v>764</v>
      </c>
      <c r="Q18" s="12">
        <v>265</v>
      </c>
      <c r="R18" s="36">
        <f t="shared" si="3"/>
        <v>499</v>
      </c>
      <c r="S18" s="37">
        <f t="shared" si="4"/>
        <v>0.34685863874345552</v>
      </c>
      <c r="T18" s="38">
        <f t="shared" si="5"/>
        <v>-207</v>
      </c>
      <c r="U18" s="39">
        <f t="shared" si="6"/>
        <v>-0.43855932203389836</v>
      </c>
      <c r="V18" s="40">
        <f>RANK(Q18,$Q$2:$Q$29)+COUNTIF($Q$2:Q18,Q18)-1</f>
        <v>17</v>
      </c>
      <c r="W18" s="11" t="str">
        <f t="shared" si="7"/>
        <v>Baixo</v>
      </c>
    </row>
    <row r="19" spans="1:23" x14ac:dyDescent="0.25">
      <c r="A19" s="15">
        <v>3306</v>
      </c>
      <c r="B19" s="11">
        <f>COUNTIFS(Mesarios!$A$2:$A$112,$A19)</f>
        <v>4</v>
      </c>
      <c r="C19" s="11" t="str">
        <f>IF(COUNTIFS(Mesarios!$A$2:$A$112,$A19,Mesarios!$B$2:$B$112,C$1)&gt;0,"✓","VAGO")</f>
        <v>✓</v>
      </c>
      <c r="D19" s="11" t="str">
        <f>IF(COUNTIFS(Mesarios!$A$2:$A$112,$A19,Mesarios!$B$2:$B$112,D$1)&gt;0,"✓","VAGO")</f>
        <v>✓</v>
      </c>
      <c r="E19" s="11" t="str">
        <f>IF(COUNTIFS(Mesarios!$A$2:$A$112,$A19,Mesarios!$B$2:$B$112,E$1)&gt;0,"✓","VAGO")</f>
        <v>✓</v>
      </c>
      <c r="F19" s="11" t="str">
        <f>IF(COUNTIFS(Mesarios!$A$2:$A$112,$A19,Mesarios!$B$2:$B$112,F$1)&gt;0,"✓","VAGO")</f>
        <v>✓</v>
      </c>
      <c r="G19" s="11">
        <f>COUNTIFS(Mesarios!$A$2:$A$112,$A19,Mesarios!$E$2:$E$112,"SIM")</f>
        <v>4</v>
      </c>
      <c r="H19" s="11">
        <f>COUNTIFS(Mesarios!$A$2:$A$112,$A19,Mesarios!$E$2:$E$112,"NAO")</f>
        <v>0</v>
      </c>
      <c r="I19" s="11">
        <f>COUNTIFS(Mesarios!$A$2:$A$112,$A19,Mesarios!$E$2:$E$112,"0006/2026")+COUNTIFS(Mesarios!$A$2:$A$112,$A19,Mesarios!$E$2:$E$112,"-")</f>
        <v>0</v>
      </c>
      <c r="J19" s="11">
        <f t="shared" si="0"/>
        <v>0</v>
      </c>
      <c r="K19" s="14" t="str">
        <f t="shared" si="1"/>
        <v/>
      </c>
      <c r="L19" s="13">
        <v>518</v>
      </c>
      <c r="M19" s="12">
        <v>766</v>
      </c>
      <c r="N19" s="12">
        <v>515</v>
      </c>
      <c r="O19" s="11" t="str">
        <f t="shared" si="2"/>
        <v>Médio</v>
      </c>
      <c r="P19" s="12">
        <v>761</v>
      </c>
      <c r="Q19" s="12">
        <v>345</v>
      </c>
      <c r="R19" s="36">
        <f t="shared" si="3"/>
        <v>416</v>
      </c>
      <c r="S19" s="37">
        <f t="shared" si="4"/>
        <v>0.45335085413929038</v>
      </c>
      <c r="T19" s="38">
        <f t="shared" si="5"/>
        <v>-170</v>
      </c>
      <c r="U19" s="39">
        <f t="shared" si="6"/>
        <v>-0.33009708737864074</v>
      </c>
      <c r="V19" s="40">
        <f>RANK(Q19,$Q$2:$Q$29)+COUNTIF($Q$2:Q19,Q19)-1</f>
        <v>7</v>
      </c>
      <c r="W19" s="11" t="str">
        <f t="shared" si="7"/>
        <v>Médio</v>
      </c>
    </row>
    <row r="20" spans="1:23" x14ac:dyDescent="0.25">
      <c r="A20" s="15">
        <v>3308</v>
      </c>
      <c r="B20" s="11">
        <f>COUNTIFS(Mesarios!$A$2:$A$112,$A20)</f>
        <v>4</v>
      </c>
      <c r="C20" s="11" t="str">
        <f>IF(COUNTIFS(Mesarios!$A$2:$A$112,$A20,Mesarios!$B$2:$B$112,C$1)&gt;0,"✓","VAGO")</f>
        <v>✓</v>
      </c>
      <c r="D20" s="11" t="str">
        <f>IF(COUNTIFS(Mesarios!$A$2:$A$112,$A20,Mesarios!$B$2:$B$112,D$1)&gt;0,"✓","VAGO")</f>
        <v>✓</v>
      </c>
      <c r="E20" s="11" t="str">
        <f>IF(COUNTIFS(Mesarios!$A$2:$A$112,$A20,Mesarios!$B$2:$B$112,E$1)&gt;0,"✓","VAGO")</f>
        <v>✓</v>
      </c>
      <c r="F20" s="11" t="str">
        <f>IF(COUNTIFS(Mesarios!$A$2:$A$112,$A20,Mesarios!$B$2:$B$112,F$1)&gt;0,"✓","VAGO")</f>
        <v>✓</v>
      </c>
      <c r="G20" s="11">
        <f>COUNTIFS(Mesarios!$A$2:$A$112,$A20,Mesarios!$E$2:$E$112,"SIM")</f>
        <v>4</v>
      </c>
      <c r="H20" s="11">
        <f>COUNTIFS(Mesarios!$A$2:$A$112,$A20,Mesarios!$E$2:$E$112,"NAO")</f>
        <v>0</v>
      </c>
      <c r="I20" s="11">
        <f>COUNTIFS(Mesarios!$A$2:$A$112,$A20,Mesarios!$E$2:$E$112,"0006/2026")+COUNTIFS(Mesarios!$A$2:$A$112,$A20,Mesarios!$E$2:$E$112,"-")</f>
        <v>0</v>
      </c>
      <c r="J20" s="11">
        <f t="shared" si="0"/>
        <v>0</v>
      </c>
      <c r="K20" s="14" t="str">
        <f t="shared" si="1"/>
        <v/>
      </c>
      <c r="L20" s="13"/>
      <c r="M20" s="12">
        <v>399</v>
      </c>
      <c r="N20" s="12">
        <v>295</v>
      </c>
      <c r="O20" s="11" t="str">
        <f t="shared" si="2"/>
        <v>Baixo</v>
      </c>
      <c r="P20" s="12">
        <v>396</v>
      </c>
      <c r="Q20" s="12">
        <v>204</v>
      </c>
      <c r="R20" s="36">
        <f t="shared" si="3"/>
        <v>192</v>
      </c>
      <c r="S20" s="37">
        <f t="shared" si="4"/>
        <v>0.51515151515151514</v>
      </c>
      <c r="T20" s="38">
        <f t="shared" si="5"/>
        <v>-91</v>
      </c>
      <c r="U20" s="39">
        <f t="shared" si="6"/>
        <v>-0.30847457627118646</v>
      </c>
      <c r="V20" s="40">
        <f>RANK(Q20,$Q$2:$Q$29)+COUNTIF($Q$2:Q20,Q20)-1</f>
        <v>25</v>
      </c>
      <c r="W20" s="11" t="str">
        <f t="shared" si="7"/>
        <v>Baixo</v>
      </c>
    </row>
    <row r="21" spans="1:23" x14ac:dyDescent="0.25">
      <c r="A21" s="15">
        <v>3309</v>
      </c>
      <c r="B21" s="11">
        <f>COUNTIFS(Mesarios!$A$2:$A$112,$A21)</f>
        <v>4</v>
      </c>
      <c r="C21" s="11" t="str">
        <f>IF(COUNTIFS(Mesarios!$A$2:$A$112,$A21,Mesarios!$B$2:$B$112,C$1)&gt;0,"✓","VAGO")</f>
        <v>✓</v>
      </c>
      <c r="D21" s="11" t="str">
        <f>IF(COUNTIFS(Mesarios!$A$2:$A$112,$A21,Mesarios!$B$2:$B$112,D$1)&gt;0,"✓","VAGO")</f>
        <v>✓</v>
      </c>
      <c r="E21" s="11" t="str">
        <f>IF(COUNTIFS(Mesarios!$A$2:$A$112,$A21,Mesarios!$B$2:$B$112,E$1)&gt;0,"✓","VAGO")</f>
        <v>✓</v>
      </c>
      <c r="F21" s="11" t="str">
        <f>IF(COUNTIFS(Mesarios!$A$2:$A$112,$A21,Mesarios!$B$2:$B$112,F$1)&gt;0,"✓","VAGO")</f>
        <v>✓</v>
      </c>
      <c r="G21" s="11">
        <f>COUNTIFS(Mesarios!$A$2:$A$112,$A21,Mesarios!$E$2:$E$112,"SIM")</f>
        <v>4</v>
      </c>
      <c r="H21" s="11">
        <f>COUNTIFS(Mesarios!$A$2:$A$112,$A21,Mesarios!$E$2:$E$112,"NAO")</f>
        <v>0</v>
      </c>
      <c r="I21" s="11">
        <f>COUNTIFS(Mesarios!$A$2:$A$112,$A21,Mesarios!$E$2:$E$112,"0006/2026")+COUNTIFS(Mesarios!$A$2:$A$112,$A21,Mesarios!$E$2:$E$112,"-")</f>
        <v>0</v>
      </c>
      <c r="J21" s="11">
        <f t="shared" si="0"/>
        <v>0</v>
      </c>
      <c r="K21" s="14" t="str">
        <f t="shared" si="1"/>
        <v/>
      </c>
      <c r="L21" s="13">
        <v>1314</v>
      </c>
      <c r="M21" s="12">
        <v>615</v>
      </c>
      <c r="N21" s="12">
        <v>395</v>
      </c>
      <c r="O21" s="11" t="str">
        <f t="shared" si="2"/>
        <v>Baixo</v>
      </c>
      <c r="P21" s="12">
        <v>614</v>
      </c>
      <c r="Q21" s="12">
        <v>278</v>
      </c>
      <c r="R21" s="36">
        <f t="shared" si="3"/>
        <v>336</v>
      </c>
      <c r="S21" s="37">
        <f t="shared" si="4"/>
        <v>0.45276872964169379</v>
      </c>
      <c r="T21" s="38">
        <f t="shared" si="5"/>
        <v>-117</v>
      </c>
      <c r="U21" s="39">
        <f t="shared" si="6"/>
        <v>-0.29620253164556964</v>
      </c>
      <c r="V21" s="40">
        <f>RANK(Q21,$Q$2:$Q$29)+COUNTIF($Q$2:Q21,Q21)-1</f>
        <v>16</v>
      </c>
      <c r="W21" s="11" t="str">
        <f t="shared" si="7"/>
        <v>Baixo</v>
      </c>
    </row>
    <row r="22" spans="1:23" x14ac:dyDescent="0.25">
      <c r="A22" s="15">
        <v>3311</v>
      </c>
      <c r="B22" s="11">
        <f>COUNTIFS(Mesarios!$A$2:$A$112,$A22)</f>
        <v>4</v>
      </c>
      <c r="C22" s="11" t="str">
        <f>IF(COUNTIFS(Mesarios!$A$2:$A$112,$A22,Mesarios!$B$2:$B$112,C$1)&gt;0,"✓","VAGO")</f>
        <v>✓</v>
      </c>
      <c r="D22" s="11" t="str">
        <f>IF(COUNTIFS(Mesarios!$A$2:$A$112,$A22,Mesarios!$B$2:$B$112,D$1)&gt;0,"✓","VAGO")</f>
        <v>✓</v>
      </c>
      <c r="E22" s="11" t="str">
        <f>IF(COUNTIFS(Mesarios!$A$2:$A$112,$A22,Mesarios!$B$2:$B$112,E$1)&gt;0,"✓","VAGO")</f>
        <v>✓</v>
      </c>
      <c r="F22" s="11" t="str">
        <f>IF(COUNTIFS(Mesarios!$A$2:$A$112,$A22,Mesarios!$B$2:$B$112,F$1)&gt;0,"✓","VAGO")</f>
        <v>✓</v>
      </c>
      <c r="G22" s="11">
        <f>COUNTIFS(Mesarios!$A$2:$A$112,$A22,Mesarios!$E$2:$E$112,"SIM")</f>
        <v>0</v>
      </c>
      <c r="H22" s="11">
        <f>COUNTIFS(Mesarios!$A$2:$A$112,$A22,Mesarios!$E$2:$E$112,"NAO")</f>
        <v>0</v>
      </c>
      <c r="I22" s="11">
        <f>COUNTIFS(Mesarios!$A$2:$A$112,$A22,Mesarios!$E$2:$E$112,"0006/2026")+COUNTIFS(Mesarios!$A$2:$A$112,$A22,Mesarios!$E$2:$E$112,"-")</f>
        <v>4</v>
      </c>
      <c r="J22" s="11">
        <f t="shared" si="0"/>
        <v>0</v>
      </c>
      <c r="K22" s="14" t="str">
        <f t="shared" si="1"/>
        <v>Só 0 presentes</v>
      </c>
      <c r="L22" s="13">
        <v>3913</v>
      </c>
      <c r="M22" s="12">
        <v>630</v>
      </c>
      <c r="N22" s="12">
        <v>466</v>
      </c>
      <c r="O22" s="11" t="str">
        <f t="shared" si="2"/>
        <v>Médio</v>
      </c>
      <c r="P22" s="12">
        <v>626</v>
      </c>
      <c r="Q22" s="12">
        <v>384</v>
      </c>
      <c r="R22" s="36">
        <f t="shared" si="3"/>
        <v>242</v>
      </c>
      <c r="S22" s="37">
        <f t="shared" si="4"/>
        <v>0.61341853035143767</v>
      </c>
      <c r="T22" s="38">
        <f t="shared" si="5"/>
        <v>-82</v>
      </c>
      <c r="U22" s="39">
        <f t="shared" si="6"/>
        <v>-0.17596566523605151</v>
      </c>
      <c r="V22" s="40">
        <f>RANK(Q22,$Q$2:$Q$29)+COUNTIF($Q$2:Q22,Q22)-1</f>
        <v>4</v>
      </c>
      <c r="W22" s="11" t="str">
        <f t="shared" si="7"/>
        <v>Médio</v>
      </c>
    </row>
    <row r="23" spans="1:23" x14ac:dyDescent="0.25">
      <c r="A23" s="15">
        <v>3313</v>
      </c>
      <c r="B23" s="11">
        <f>COUNTIFS(Mesarios!$A$2:$A$112,$A23)</f>
        <v>4</v>
      </c>
      <c r="C23" s="11" t="str">
        <f>IF(COUNTIFS(Mesarios!$A$2:$A$112,$A23,Mesarios!$B$2:$B$112,C$1)&gt;0,"✓","VAGO")</f>
        <v>✓</v>
      </c>
      <c r="D23" s="11" t="str">
        <f>IF(COUNTIFS(Mesarios!$A$2:$A$112,$A23,Mesarios!$B$2:$B$112,D$1)&gt;0,"✓","VAGO")</f>
        <v>✓</v>
      </c>
      <c r="E23" s="11" t="str">
        <f>IF(COUNTIFS(Mesarios!$A$2:$A$112,$A23,Mesarios!$B$2:$B$112,E$1)&gt;0,"✓","VAGO")</f>
        <v>✓</v>
      </c>
      <c r="F23" s="11" t="str">
        <f>IF(COUNTIFS(Mesarios!$A$2:$A$112,$A23,Mesarios!$B$2:$B$112,F$1)&gt;0,"✓","VAGO")</f>
        <v>✓</v>
      </c>
      <c r="G23" s="11">
        <f>COUNTIFS(Mesarios!$A$2:$A$112,$A23,Mesarios!$E$2:$E$112,"SIM")</f>
        <v>4</v>
      </c>
      <c r="H23" s="11">
        <f>COUNTIFS(Mesarios!$A$2:$A$112,$A23,Mesarios!$E$2:$E$112,"NAO")</f>
        <v>0</v>
      </c>
      <c r="I23" s="11">
        <f>COUNTIFS(Mesarios!$A$2:$A$112,$A23,Mesarios!$E$2:$E$112,"0006/2026")+COUNTIFS(Mesarios!$A$2:$A$112,$A23,Mesarios!$E$2:$E$112,"-")</f>
        <v>0</v>
      </c>
      <c r="J23" s="11">
        <f t="shared" si="0"/>
        <v>0</v>
      </c>
      <c r="K23" s="14" t="str">
        <f t="shared" si="1"/>
        <v/>
      </c>
      <c r="L23" s="13">
        <v>3889</v>
      </c>
      <c r="M23" s="12">
        <v>797</v>
      </c>
      <c r="N23" s="12">
        <v>590</v>
      </c>
      <c r="O23" s="11" t="str">
        <f t="shared" si="2"/>
        <v>Alto</v>
      </c>
      <c r="P23" s="12">
        <v>792</v>
      </c>
      <c r="Q23" s="12">
        <v>492</v>
      </c>
      <c r="R23" s="36">
        <f t="shared" si="3"/>
        <v>300</v>
      </c>
      <c r="S23" s="37">
        <f t="shared" si="4"/>
        <v>0.62121212121212122</v>
      </c>
      <c r="T23" s="38">
        <f t="shared" si="5"/>
        <v>-98</v>
      </c>
      <c r="U23" s="39">
        <f t="shared" si="6"/>
        <v>-0.16610169491525428</v>
      </c>
      <c r="V23" s="40">
        <f>RANK(Q23,$Q$2:$Q$29)+COUNTIF($Q$2:Q23,Q23)-1</f>
        <v>3</v>
      </c>
      <c r="W23" s="11" t="str">
        <f t="shared" si="7"/>
        <v>Alto</v>
      </c>
    </row>
    <row r="24" spans="1:23" x14ac:dyDescent="0.25">
      <c r="A24" s="15">
        <v>3315</v>
      </c>
      <c r="B24" s="11">
        <f>COUNTIFS(Mesarios!$A$2:$A$112,$A24)</f>
        <v>4</v>
      </c>
      <c r="C24" s="11" t="str">
        <f>IF(COUNTIFS(Mesarios!$A$2:$A$112,$A24,Mesarios!$B$2:$B$112,C$1)&gt;0,"✓","VAGO")</f>
        <v>✓</v>
      </c>
      <c r="D24" s="11" t="str">
        <f>IF(COUNTIFS(Mesarios!$A$2:$A$112,$A24,Mesarios!$B$2:$B$112,D$1)&gt;0,"✓","VAGO")</f>
        <v>✓</v>
      </c>
      <c r="E24" s="11" t="str">
        <f>IF(COUNTIFS(Mesarios!$A$2:$A$112,$A24,Mesarios!$B$2:$B$112,E$1)&gt;0,"✓","VAGO")</f>
        <v>✓</v>
      </c>
      <c r="F24" s="11" t="str">
        <f>IF(COUNTIFS(Mesarios!$A$2:$A$112,$A24,Mesarios!$B$2:$B$112,F$1)&gt;0,"✓","VAGO")</f>
        <v>✓</v>
      </c>
      <c r="G24" s="11">
        <f>COUNTIFS(Mesarios!$A$2:$A$112,$A24,Mesarios!$E$2:$E$112,"SIM")</f>
        <v>4</v>
      </c>
      <c r="H24" s="11">
        <f>COUNTIFS(Mesarios!$A$2:$A$112,$A24,Mesarios!$E$2:$E$112,"NAO")</f>
        <v>0</v>
      </c>
      <c r="I24" s="11">
        <f>COUNTIFS(Mesarios!$A$2:$A$112,$A24,Mesarios!$E$2:$E$112,"0006/2026")+COUNTIFS(Mesarios!$A$2:$A$112,$A24,Mesarios!$E$2:$E$112,"-")</f>
        <v>0</v>
      </c>
      <c r="J24" s="11">
        <f t="shared" si="0"/>
        <v>0</v>
      </c>
      <c r="K24" s="14" t="str">
        <f t="shared" si="1"/>
        <v/>
      </c>
      <c r="L24" s="13">
        <v>3778</v>
      </c>
      <c r="M24" s="12">
        <v>792</v>
      </c>
      <c r="N24" s="12">
        <v>586</v>
      </c>
      <c r="O24" s="11" t="str">
        <f t="shared" si="2"/>
        <v>Alto</v>
      </c>
      <c r="P24" s="12">
        <v>790</v>
      </c>
      <c r="Q24" s="12">
        <v>536</v>
      </c>
      <c r="R24" s="36">
        <f t="shared" si="3"/>
        <v>254</v>
      </c>
      <c r="S24" s="37">
        <f t="shared" si="4"/>
        <v>0.6784810126582278</v>
      </c>
      <c r="T24" s="38">
        <f t="shared" si="5"/>
        <v>-50</v>
      </c>
      <c r="U24" s="39">
        <f t="shared" si="6"/>
        <v>-8.5324232081911311E-2</v>
      </c>
      <c r="V24" s="40">
        <f>RANK(Q24,$Q$2:$Q$29)+COUNTIF($Q$2:Q24,Q24)-1</f>
        <v>1</v>
      </c>
      <c r="W24" s="11" t="str">
        <f t="shared" si="7"/>
        <v>Alto</v>
      </c>
    </row>
    <row r="25" spans="1:23" x14ac:dyDescent="0.25">
      <c r="A25" s="15">
        <v>3322</v>
      </c>
      <c r="B25" s="11">
        <f>COUNTIFS(Mesarios!$A$2:$A$112,$A25)</f>
        <v>4</v>
      </c>
      <c r="C25" s="11" t="str">
        <f>IF(COUNTIFS(Mesarios!$A$2:$A$112,$A25,Mesarios!$B$2:$B$112,C$1)&gt;0,"✓","VAGO")</f>
        <v>✓</v>
      </c>
      <c r="D25" s="11" t="str">
        <f>IF(COUNTIFS(Mesarios!$A$2:$A$112,$A25,Mesarios!$B$2:$B$112,D$1)&gt;0,"✓","VAGO")</f>
        <v>✓</v>
      </c>
      <c r="E25" s="11" t="str">
        <f>IF(COUNTIFS(Mesarios!$A$2:$A$112,$A25,Mesarios!$B$2:$B$112,E$1)&gt;0,"✓","VAGO")</f>
        <v>✓</v>
      </c>
      <c r="F25" s="11" t="str">
        <f>IF(COUNTIFS(Mesarios!$A$2:$A$112,$A25,Mesarios!$B$2:$B$112,F$1)&gt;0,"✓","VAGO")</f>
        <v>✓</v>
      </c>
      <c r="G25" s="11">
        <f>COUNTIFS(Mesarios!$A$2:$A$112,$A25,Mesarios!$E$2:$E$112,"SIM")</f>
        <v>2</v>
      </c>
      <c r="H25" s="11">
        <f>COUNTIFS(Mesarios!$A$2:$A$112,$A25,Mesarios!$E$2:$E$112,"NAO")</f>
        <v>2</v>
      </c>
      <c r="I25" s="11">
        <f>COUNTIFS(Mesarios!$A$2:$A$112,$A25,Mesarios!$E$2:$E$112,"0006/2026")+COUNTIFS(Mesarios!$A$2:$A$112,$A25,Mesarios!$E$2:$E$112,"-")</f>
        <v>0</v>
      </c>
      <c r="J25" s="11">
        <f t="shared" si="0"/>
        <v>0</v>
      </c>
      <c r="K25" s="14" t="str">
        <f t="shared" si="1"/>
        <v>Só 2 presentes</v>
      </c>
      <c r="L25" s="13">
        <v>3752</v>
      </c>
      <c r="M25" s="12">
        <v>794</v>
      </c>
      <c r="N25" s="12">
        <v>588</v>
      </c>
      <c r="O25" s="11" t="str">
        <f t="shared" si="2"/>
        <v>Alto</v>
      </c>
      <c r="P25" s="12">
        <v>792</v>
      </c>
      <c r="Q25" s="12">
        <v>503</v>
      </c>
      <c r="R25" s="36">
        <f t="shared" si="3"/>
        <v>289</v>
      </c>
      <c r="S25" s="37">
        <f t="shared" si="4"/>
        <v>0.63510101010101006</v>
      </c>
      <c r="T25" s="38">
        <f t="shared" si="5"/>
        <v>-85</v>
      </c>
      <c r="U25" s="39">
        <f t="shared" si="6"/>
        <v>-0.14455782312925169</v>
      </c>
      <c r="V25" s="40">
        <f>RANK(Q25,$Q$2:$Q$29)+COUNTIF($Q$2:Q25,Q25)-1</f>
        <v>2</v>
      </c>
      <c r="W25" s="11" t="str">
        <f t="shared" si="7"/>
        <v>Alto</v>
      </c>
    </row>
    <row r="26" spans="1:23" x14ac:dyDescent="0.25">
      <c r="A26" s="15">
        <v>3442</v>
      </c>
      <c r="B26" s="11">
        <f>COUNTIFS(Mesarios!$A$2:$A$112,$A26)</f>
        <v>4</v>
      </c>
      <c r="C26" s="11" t="str">
        <f>IF(COUNTIFS(Mesarios!$A$2:$A$112,$A26,Mesarios!$B$2:$B$112,C$1)&gt;0,"✓","VAGO")</f>
        <v>✓</v>
      </c>
      <c r="D26" s="11" t="str">
        <f>IF(COUNTIFS(Mesarios!$A$2:$A$112,$A26,Mesarios!$B$2:$B$112,D$1)&gt;0,"✓","VAGO")</f>
        <v>✓</v>
      </c>
      <c r="E26" s="11" t="str">
        <f>IF(COUNTIFS(Mesarios!$A$2:$A$112,$A26,Mesarios!$B$2:$B$112,E$1)&gt;0,"✓","VAGO")</f>
        <v>✓</v>
      </c>
      <c r="F26" s="11" t="str">
        <f>IF(COUNTIFS(Mesarios!$A$2:$A$112,$A26,Mesarios!$B$2:$B$112,F$1)&gt;0,"✓","VAGO")</f>
        <v>✓</v>
      </c>
      <c r="G26" s="11">
        <f>COUNTIFS(Mesarios!$A$2:$A$112,$A26,Mesarios!$E$2:$E$112,"SIM")</f>
        <v>2</v>
      </c>
      <c r="H26" s="11">
        <f>COUNTIFS(Mesarios!$A$2:$A$112,$A26,Mesarios!$E$2:$E$112,"NAO")</f>
        <v>2</v>
      </c>
      <c r="I26" s="11">
        <f>COUNTIFS(Mesarios!$A$2:$A$112,$A26,Mesarios!$E$2:$E$112,"0006/2026")+COUNTIFS(Mesarios!$A$2:$A$112,$A26,Mesarios!$E$2:$E$112,"-")</f>
        <v>0</v>
      </c>
      <c r="J26" s="11">
        <f t="shared" si="0"/>
        <v>0</v>
      </c>
      <c r="K26" s="14" t="str">
        <f t="shared" si="1"/>
        <v>Só 2 presentes</v>
      </c>
      <c r="L26" s="13"/>
      <c r="M26" s="12">
        <v>398</v>
      </c>
      <c r="N26" s="12">
        <v>295</v>
      </c>
      <c r="O26" s="11" t="str">
        <f t="shared" si="2"/>
        <v>Baixo</v>
      </c>
      <c r="P26" s="12">
        <v>397</v>
      </c>
      <c r="Q26" s="12">
        <v>134</v>
      </c>
      <c r="R26" s="36">
        <f t="shared" si="3"/>
        <v>263</v>
      </c>
      <c r="S26" s="37">
        <f t="shared" si="4"/>
        <v>0.33753148614609574</v>
      </c>
      <c r="T26" s="38">
        <f t="shared" si="5"/>
        <v>-161</v>
      </c>
      <c r="U26" s="39">
        <f t="shared" si="6"/>
        <v>-0.54576271186440684</v>
      </c>
      <c r="V26" s="40">
        <f>RANK(Q26,$Q$2:$Q$29)+COUNTIF($Q$2:Q26,Q26)-1</f>
        <v>28</v>
      </c>
      <c r="W26" s="11" t="str">
        <f t="shared" si="7"/>
        <v>Baixo</v>
      </c>
    </row>
    <row r="27" spans="1:23" x14ac:dyDescent="0.25">
      <c r="A27" s="15">
        <v>3688</v>
      </c>
      <c r="B27" s="11">
        <f>COUNTIFS(Mesarios!$A$2:$A$112,$A27)</f>
        <v>4</v>
      </c>
      <c r="C27" s="11" t="str">
        <f>IF(COUNTIFS(Mesarios!$A$2:$A$112,$A27,Mesarios!$B$2:$B$112,C$1)&gt;0,"✓","VAGO")</f>
        <v>✓</v>
      </c>
      <c r="D27" s="11" t="str">
        <f>IF(COUNTIFS(Mesarios!$A$2:$A$112,$A27,Mesarios!$B$2:$B$112,D$1)&gt;0,"✓","VAGO")</f>
        <v>✓</v>
      </c>
      <c r="E27" s="11" t="str">
        <f>IF(COUNTIFS(Mesarios!$A$2:$A$112,$A27,Mesarios!$B$2:$B$112,E$1)&gt;0,"✓","VAGO")</f>
        <v>✓</v>
      </c>
      <c r="F27" s="11" t="str">
        <f>IF(COUNTIFS(Mesarios!$A$2:$A$112,$A27,Mesarios!$B$2:$B$112,F$1)&gt;0,"✓","VAGO")</f>
        <v>✓</v>
      </c>
      <c r="G27" s="11">
        <f>COUNTIFS(Mesarios!$A$2:$A$112,$A27,Mesarios!$E$2:$E$112,"SIM")</f>
        <v>2</v>
      </c>
      <c r="H27" s="11">
        <f>COUNTIFS(Mesarios!$A$2:$A$112,$A27,Mesarios!$E$2:$E$112,"NAO")</f>
        <v>2</v>
      </c>
      <c r="I27" s="11">
        <f>COUNTIFS(Mesarios!$A$2:$A$112,$A27,Mesarios!$E$2:$E$112,"0006/2026")+COUNTIFS(Mesarios!$A$2:$A$112,$A27,Mesarios!$E$2:$E$112,"-")</f>
        <v>0</v>
      </c>
      <c r="J27" s="11">
        <f t="shared" si="0"/>
        <v>0</v>
      </c>
      <c r="K27" s="14" t="str">
        <f t="shared" si="1"/>
        <v>Só 2 presentes</v>
      </c>
      <c r="L27" s="13"/>
      <c r="M27" s="12">
        <v>400</v>
      </c>
      <c r="N27" s="12">
        <v>296</v>
      </c>
      <c r="O27" s="11" t="str">
        <f t="shared" si="2"/>
        <v>Baixo</v>
      </c>
      <c r="P27" s="12">
        <v>399</v>
      </c>
      <c r="Q27" s="12">
        <v>265</v>
      </c>
      <c r="R27" s="36">
        <f t="shared" si="3"/>
        <v>134</v>
      </c>
      <c r="S27" s="37">
        <f t="shared" si="4"/>
        <v>0.66416040100250628</v>
      </c>
      <c r="T27" s="38">
        <f t="shared" si="5"/>
        <v>-31</v>
      </c>
      <c r="U27" s="39">
        <f t="shared" si="6"/>
        <v>-0.10472972972972971</v>
      </c>
      <c r="V27" s="40">
        <f>RANK(Q27,$Q$2:$Q$29)+COUNTIF($Q$2:Q27,Q27)-1</f>
        <v>18</v>
      </c>
      <c r="W27" s="11" t="str">
        <f t="shared" si="7"/>
        <v>Baixo</v>
      </c>
    </row>
    <row r="28" spans="1:23" x14ac:dyDescent="0.25">
      <c r="A28" s="15">
        <v>3832</v>
      </c>
      <c r="B28" s="11">
        <f>COUNTIFS(Mesarios!$A$2:$A$112,$A28)</f>
        <v>4</v>
      </c>
      <c r="C28" s="11" t="str">
        <f>IF(COUNTIFS(Mesarios!$A$2:$A$112,$A28,Mesarios!$B$2:$B$112,C$1)&gt;0,"✓","VAGO")</f>
        <v>✓</v>
      </c>
      <c r="D28" s="11" t="str">
        <f>IF(COUNTIFS(Mesarios!$A$2:$A$112,$A28,Mesarios!$B$2:$B$112,D$1)&gt;0,"✓","VAGO")</f>
        <v>✓</v>
      </c>
      <c r="E28" s="11" t="str">
        <f>IF(COUNTIFS(Mesarios!$A$2:$A$112,$A28,Mesarios!$B$2:$B$112,E$1)&gt;0,"✓","VAGO")</f>
        <v>✓</v>
      </c>
      <c r="F28" s="11" t="str">
        <f>IF(COUNTIFS(Mesarios!$A$2:$A$112,$A28,Mesarios!$B$2:$B$112,F$1)&gt;0,"✓","VAGO")</f>
        <v>✓</v>
      </c>
      <c r="G28" s="11">
        <f>COUNTIFS(Mesarios!$A$2:$A$112,$A28,Mesarios!$E$2:$E$112,"SIM")</f>
        <v>4</v>
      </c>
      <c r="H28" s="11">
        <f>COUNTIFS(Mesarios!$A$2:$A$112,$A28,Mesarios!$E$2:$E$112,"NAO")</f>
        <v>0</v>
      </c>
      <c r="I28" s="11">
        <f>COUNTIFS(Mesarios!$A$2:$A$112,$A28,Mesarios!$E$2:$E$112,"0006/2026")+COUNTIFS(Mesarios!$A$2:$A$112,$A28,Mesarios!$E$2:$E$112,"-")</f>
        <v>0</v>
      </c>
      <c r="J28" s="11">
        <f t="shared" si="0"/>
        <v>0</v>
      </c>
      <c r="K28" s="14" t="str">
        <f t="shared" si="1"/>
        <v/>
      </c>
      <c r="L28" s="13"/>
      <c r="M28" s="12">
        <v>400</v>
      </c>
      <c r="N28" s="12">
        <v>296</v>
      </c>
      <c r="O28" s="11" t="str">
        <f t="shared" si="2"/>
        <v>Baixo</v>
      </c>
      <c r="P28" s="12">
        <v>399</v>
      </c>
      <c r="Q28" s="12">
        <v>306</v>
      </c>
      <c r="R28" s="36">
        <f t="shared" si="3"/>
        <v>93</v>
      </c>
      <c r="S28" s="37">
        <f t="shared" si="4"/>
        <v>0.76691729323308266</v>
      </c>
      <c r="T28" s="38">
        <f t="shared" si="5"/>
        <v>10</v>
      </c>
      <c r="U28" s="39">
        <f t="shared" si="6"/>
        <v>3.3783783783783772E-2</v>
      </c>
      <c r="V28" s="40">
        <f>RANK(Q28,$Q$2:$Q$29)+COUNTIF($Q$2:Q28,Q28)-1</f>
        <v>13</v>
      </c>
      <c r="W28" s="11" t="str">
        <f t="shared" si="7"/>
        <v>Baixo</v>
      </c>
    </row>
    <row r="29" spans="1:23" ht="15.75" customHeight="1" thickBot="1" x14ac:dyDescent="0.3">
      <c r="A29" s="15">
        <v>3862</v>
      </c>
      <c r="B29" s="11">
        <f>COUNTIFS(Mesarios!$A$2:$A$112,$A29)</f>
        <v>3</v>
      </c>
      <c r="C29" s="11" t="str">
        <f>IF(COUNTIFS(Mesarios!$A$2:$A$112,$A29,Mesarios!$B$2:$B$112,C$1)&gt;0,"✓","VAGO")</f>
        <v>✓</v>
      </c>
      <c r="D29" s="11" t="str">
        <f>IF(COUNTIFS(Mesarios!$A$2:$A$112,$A29,Mesarios!$B$2:$B$112,D$1)&gt;0,"✓","VAGO")</f>
        <v>✓</v>
      </c>
      <c r="E29" s="11" t="str">
        <f>IF(COUNTIFS(Mesarios!$A$2:$A$112,$A29,Mesarios!$B$2:$B$112,E$1)&gt;0,"✓","VAGO")</f>
        <v>VAGO</v>
      </c>
      <c r="F29" s="11" t="str">
        <f>IF(COUNTIFS(Mesarios!$A$2:$A$112,$A29,Mesarios!$B$2:$B$112,F$1)&gt;0,"✓","VAGO")</f>
        <v>✓</v>
      </c>
      <c r="G29" s="11">
        <f>COUNTIFS(Mesarios!$A$2:$A$112,$A29,Mesarios!$E$2:$E$112,"SIM")</f>
        <v>3</v>
      </c>
      <c r="H29" s="11">
        <f>COUNTIFS(Mesarios!$A$2:$A$112,$A29,Mesarios!$E$2:$E$112,"NAO")</f>
        <v>0</v>
      </c>
      <c r="I29" s="11">
        <f>COUNTIFS(Mesarios!$A$2:$A$112,$A29,Mesarios!$E$2:$E$112,"0006/2026")+COUNTIFS(Mesarios!$A$2:$A$112,$A29,Mesarios!$E$2:$E$112,"-")</f>
        <v>0</v>
      </c>
      <c r="J29" s="11">
        <f t="shared" si="0"/>
        <v>1</v>
      </c>
      <c r="K29" s="14" t="str">
        <f t="shared" si="1"/>
        <v>Mesa com 3 designados</v>
      </c>
      <c r="L29" s="13"/>
      <c r="M29" s="12">
        <v>400</v>
      </c>
      <c r="N29" s="12">
        <v>296</v>
      </c>
      <c r="O29" s="11" t="str">
        <f t="shared" si="2"/>
        <v>Baixo</v>
      </c>
      <c r="P29" s="12">
        <v>400</v>
      </c>
      <c r="Q29" s="12">
        <v>302</v>
      </c>
      <c r="R29" s="36">
        <f t="shared" si="3"/>
        <v>98</v>
      </c>
      <c r="S29" s="37">
        <f t="shared" si="4"/>
        <v>0.755</v>
      </c>
      <c r="T29" s="38">
        <f t="shared" si="5"/>
        <v>6</v>
      </c>
      <c r="U29" s="39">
        <f t="shared" si="6"/>
        <v>2.0270270270270174E-2</v>
      </c>
      <c r="V29" s="40">
        <f>RANK(Q29,$Q$2:$Q$29)+COUNTIF($Q$2:Q29,Q29)-1</f>
        <v>14</v>
      </c>
      <c r="W29" s="11" t="str">
        <f t="shared" si="7"/>
        <v>Baixo</v>
      </c>
    </row>
    <row r="30" spans="1:23" x14ac:dyDescent="0.25">
      <c r="A30" s="8" t="s">
        <v>258</v>
      </c>
      <c r="B30" s="8">
        <f>SUM(B2:B29)</f>
        <v>111</v>
      </c>
      <c r="C30" s="8">
        <f>COUNTIF(C2:C29,"VAGO")</f>
        <v>0</v>
      </c>
      <c r="D30" s="8">
        <f>COUNTIF(D2:D29,"VAGO")</f>
        <v>0</v>
      </c>
      <c r="E30" s="8">
        <f>COUNTIF(E2:E29,"VAGO")</f>
        <v>1</v>
      </c>
      <c r="F30" s="8">
        <f>COUNTIF(F2:F29,"VAGO")</f>
        <v>0</v>
      </c>
      <c r="G30" s="8">
        <f>SUM(G2:G29)</f>
        <v>82</v>
      </c>
      <c r="H30" s="8">
        <f>SUM(H2:H29)</f>
        <v>13</v>
      </c>
      <c r="I30" s="8">
        <f>SUM(I2:I29)</f>
        <v>16</v>
      </c>
      <c r="J30" s="8">
        <f>SUM(J2:J29)</f>
        <v>1</v>
      </c>
      <c r="K30" s="10"/>
      <c r="M30" s="9">
        <f>SUM(M2:M29)</f>
        <v>16794</v>
      </c>
      <c r="N30" s="9">
        <f>SUM(N2:N29)</f>
        <v>11499</v>
      </c>
      <c r="O30" s="8" t="str">
        <f>COUNTIF(O2:O29,"Alto")&amp;" A · "&amp;COUNTIF(O2:O29,"Médio")&amp;" M · "&amp;COUNTIF(O2:O29,"Baixo")&amp;" B"</f>
        <v>3 A · 8 M · 17 B</v>
      </c>
      <c r="P30" s="9">
        <f>SUM(P2:P29)</f>
        <v>16720</v>
      </c>
      <c r="Q30" s="9">
        <f>SUM(Q2:Q29)</f>
        <v>8417</v>
      </c>
      <c r="R30" s="9">
        <f t="shared" si="3"/>
        <v>8303</v>
      </c>
      <c r="S30" s="41">
        <f t="shared" si="4"/>
        <v>0.50340909090909092</v>
      </c>
      <c r="T30" s="42">
        <f t="shared" si="5"/>
        <v>-3082</v>
      </c>
      <c r="U30" s="43">
        <f t="shared" si="6"/>
        <v>-0.26802330637446736</v>
      </c>
      <c r="V30" s="9"/>
      <c r="W30" s="9" t="str">
        <f>COUNTIF(W2:W29,"Alto")&amp;" A · "&amp;COUNTIF(W2:W29,"Médio")&amp;" M · "&amp;COUNTIF(W2:W29,"Baixo")&amp;" B"</f>
        <v>3 A · 4 M · 21 B</v>
      </c>
    </row>
    <row r="32" spans="1:23" x14ac:dyDescent="0.25">
      <c r="A32" s="7" t="s">
        <v>273</v>
      </c>
    </row>
    <row r="33" spans="1:23" x14ac:dyDescent="0.25">
      <c r="A33" s="6" t="s">
        <v>274</v>
      </c>
    </row>
    <row r="34" spans="1:23" x14ac:dyDescent="0.25">
      <c r="A34" s="6" t="s">
        <v>275</v>
      </c>
      <c r="M34" s="4" t="s">
        <v>276</v>
      </c>
      <c r="N34" s="5">
        <f>LARGE(N2:N29,3)</f>
        <v>586</v>
      </c>
      <c r="V34" s="4" t="s">
        <v>277</v>
      </c>
      <c r="W34" s="5">
        <f>LARGE(Q2:Q29,3)</f>
        <v>492</v>
      </c>
    </row>
    <row r="35" spans="1:23" x14ac:dyDescent="0.25">
      <c r="M35" s="4" t="s">
        <v>278</v>
      </c>
      <c r="N35" s="3">
        <v>450</v>
      </c>
      <c r="V35" s="4" t="s">
        <v>279</v>
      </c>
      <c r="W35" s="5">
        <f>ROUND(N35*Q30/N30,0)</f>
        <v>329</v>
      </c>
    </row>
    <row r="37" spans="1:23" x14ac:dyDescent="0.25">
      <c r="A37" s="7" t="s">
        <v>280</v>
      </c>
    </row>
    <row r="38" spans="1:23" x14ac:dyDescent="0.25">
      <c r="A38" s="7" t="s">
        <v>281</v>
      </c>
    </row>
  </sheetData>
  <conditionalFormatting sqref="A2:A29">
    <cfRule type="expression" dxfId="18" priority="1">
      <formula>$O2="Alto"</formula>
    </cfRule>
    <cfRule type="expression" dxfId="17" priority="2">
      <formula>$O2="Médio"</formula>
    </cfRule>
    <cfRule type="expression" dxfId="16" priority="3">
      <formula>$O2="Baixo"</formula>
    </cfRule>
  </conditionalFormatting>
  <conditionalFormatting sqref="A2:K29">
    <cfRule type="expression" dxfId="15" priority="7">
      <formula>$B2&lt;4</formula>
    </cfRule>
  </conditionalFormatting>
  <conditionalFormatting sqref="C2:F29">
    <cfRule type="expression" dxfId="14" priority="8">
      <formula>C2="VAGO"</formula>
    </cfRule>
  </conditionalFormatting>
  <conditionalFormatting sqref="G2:G29">
    <cfRule type="expression" dxfId="13" priority="9">
      <formula>G2&lt;3</formula>
    </cfRule>
  </conditionalFormatting>
  <conditionalFormatting sqref="H2:I29">
    <cfRule type="expression" dxfId="12" priority="10">
      <formula>H2&gt;0</formula>
    </cfRule>
  </conditionalFormatting>
  <conditionalFormatting sqref="N2:O29">
    <cfRule type="expression" dxfId="11" priority="4">
      <formula>$O2="Alto"</formula>
    </cfRule>
    <cfRule type="expression" dxfId="10" priority="5">
      <formula>$O2="Médio"</formula>
    </cfRule>
    <cfRule type="expression" dxfId="9" priority="6">
      <formula>$O2="Baixo"</formula>
    </cfRule>
  </conditionalFormatting>
  <conditionalFormatting sqref="Q2:Q29">
    <cfRule type="expression" dxfId="8" priority="11">
      <formula>$W2="Alto"</formula>
    </cfRule>
    <cfRule type="expression" dxfId="7" priority="12">
      <formula>$W2="Médio"</formula>
    </cfRule>
    <cfRule type="expression" dxfId="6" priority="13">
      <formula>$W2="Baixo"</formula>
    </cfRule>
  </conditionalFormatting>
  <conditionalFormatting sqref="V2:W29">
    <cfRule type="expression" dxfId="5" priority="14">
      <formula>$W2="Alto"</formula>
    </cfRule>
    <cfRule type="expression" dxfId="4" priority="15">
      <formula>$W2="Médio"</formula>
    </cfRule>
    <cfRule type="expression" dxfId="3" priority="16">
      <formula>$W2="Baixo"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4" customWidth="1"/>
  </cols>
  <sheetData>
    <row r="1" spans="1:10" ht="30" customHeight="1" x14ac:dyDescent="0.25">
      <c r="A1" s="35" t="s">
        <v>282</v>
      </c>
      <c r="B1" s="35" t="s">
        <v>0</v>
      </c>
      <c r="C1" s="35" t="s">
        <v>263</v>
      </c>
      <c r="D1" s="35" t="s">
        <v>265</v>
      </c>
      <c r="E1" s="35" t="s">
        <v>283</v>
      </c>
      <c r="F1" s="35" t="s">
        <v>284</v>
      </c>
      <c r="G1" s="35" t="s">
        <v>285</v>
      </c>
      <c r="H1" s="35" t="s">
        <v>269</v>
      </c>
      <c r="I1" s="35" t="s">
        <v>286</v>
      </c>
      <c r="J1" s="35" t="s">
        <v>272</v>
      </c>
    </row>
    <row r="2" spans="1:10" x14ac:dyDescent="0.25">
      <c r="A2" s="11">
        <v>1</v>
      </c>
      <c r="B2" s="11">
        <f>INDEX('Por secao'!$A$2:$A$29,MATCH($A2,'Por secao'!$V$2:$V$29,0))</f>
        <v>3315</v>
      </c>
      <c r="C2" s="11">
        <f>IF(INDEX('Por secao'!$L$2:$L$29,MATCH($A2,'Por secao'!$V$2:$V$29,0))="","—",INDEX('Por secao'!$L$2:$L$29,MATCH($A2,'Por secao'!$V$2:$V$29,0)))</f>
        <v>3778</v>
      </c>
      <c r="D2" s="36">
        <f>INDEX('Por secao'!$P$2:$P$29,MATCH($A2,'Por secao'!$V$2:$V$29,0))</f>
        <v>790</v>
      </c>
      <c r="E2" s="36">
        <f>INDEX('Por secao'!$N$2:$N$29,MATCH($A2,'Por secao'!$V$2:$V$29,0))</f>
        <v>586</v>
      </c>
      <c r="F2" s="36">
        <f>INDEX('Por secao'!$Q$2:$Q$29,MATCH($A2,'Por secao'!$V$2:$V$29,0))</f>
        <v>536</v>
      </c>
      <c r="G2" s="37">
        <f>INDEX('Por secao'!$S$2:$S$29,MATCH($A2,'Por secao'!$V$2:$V$29,0))</f>
        <v>0.6784810126582278</v>
      </c>
      <c r="H2" s="38">
        <f>INDEX('Por secao'!$T$2:$T$29,MATCH($A2,'Por secao'!$V$2:$V$29,0))</f>
        <v>-50</v>
      </c>
      <c r="I2" s="39">
        <f>INDEX('Por secao'!$U$2:$U$29,MATCH($A2,'Por secao'!$V$2:$V$29,0))</f>
        <v>-8.5324232081911311E-2</v>
      </c>
      <c r="J2" s="11" t="str">
        <f>INDEX('Por secao'!$W$2:$W$29,MATCH($A2,'Por secao'!$V$2:$V$29,0))</f>
        <v>Alto</v>
      </c>
    </row>
    <row r="3" spans="1:10" x14ac:dyDescent="0.25">
      <c r="A3" s="11">
        <v>2</v>
      </c>
      <c r="B3" s="11">
        <f>INDEX('Por secao'!$A$2:$A$29,MATCH($A3,'Por secao'!$V$2:$V$29,0))</f>
        <v>3322</v>
      </c>
      <c r="C3" s="11">
        <f>IF(INDEX('Por secao'!$L$2:$L$29,MATCH($A3,'Por secao'!$V$2:$V$29,0))="","—",INDEX('Por secao'!$L$2:$L$29,MATCH($A3,'Por secao'!$V$2:$V$29,0)))</f>
        <v>3752</v>
      </c>
      <c r="D3" s="36">
        <f>INDEX('Por secao'!$P$2:$P$29,MATCH($A3,'Por secao'!$V$2:$V$29,0))</f>
        <v>792</v>
      </c>
      <c r="E3" s="36">
        <f>INDEX('Por secao'!$N$2:$N$29,MATCH($A3,'Por secao'!$V$2:$V$29,0))</f>
        <v>588</v>
      </c>
      <c r="F3" s="36">
        <f>INDEX('Por secao'!$Q$2:$Q$29,MATCH($A3,'Por secao'!$V$2:$V$29,0))</f>
        <v>503</v>
      </c>
      <c r="G3" s="37">
        <f>INDEX('Por secao'!$S$2:$S$29,MATCH($A3,'Por secao'!$V$2:$V$29,0))</f>
        <v>0.63510101010101006</v>
      </c>
      <c r="H3" s="38">
        <f>INDEX('Por secao'!$T$2:$T$29,MATCH($A3,'Por secao'!$V$2:$V$29,0))</f>
        <v>-85</v>
      </c>
      <c r="I3" s="39">
        <f>INDEX('Por secao'!$U$2:$U$29,MATCH($A3,'Por secao'!$V$2:$V$29,0))</f>
        <v>-0.14455782312925169</v>
      </c>
      <c r="J3" s="11" t="str">
        <f>INDEX('Por secao'!$W$2:$W$29,MATCH($A3,'Por secao'!$V$2:$V$29,0))</f>
        <v>Alto</v>
      </c>
    </row>
    <row r="4" spans="1:10" x14ac:dyDescent="0.25">
      <c r="A4" s="11">
        <v>3</v>
      </c>
      <c r="B4" s="11">
        <f>INDEX('Por secao'!$A$2:$A$29,MATCH($A4,'Por secao'!$V$2:$V$29,0))</f>
        <v>3313</v>
      </c>
      <c r="C4" s="11">
        <f>IF(INDEX('Por secao'!$L$2:$L$29,MATCH($A4,'Por secao'!$V$2:$V$29,0))="","—",INDEX('Por secao'!$L$2:$L$29,MATCH($A4,'Por secao'!$V$2:$V$29,0)))</f>
        <v>3889</v>
      </c>
      <c r="D4" s="36">
        <f>INDEX('Por secao'!$P$2:$P$29,MATCH($A4,'Por secao'!$V$2:$V$29,0))</f>
        <v>792</v>
      </c>
      <c r="E4" s="36">
        <f>INDEX('Por secao'!$N$2:$N$29,MATCH($A4,'Por secao'!$V$2:$V$29,0))</f>
        <v>590</v>
      </c>
      <c r="F4" s="36">
        <f>INDEX('Por secao'!$Q$2:$Q$29,MATCH($A4,'Por secao'!$V$2:$V$29,0))</f>
        <v>492</v>
      </c>
      <c r="G4" s="37">
        <f>INDEX('Por secao'!$S$2:$S$29,MATCH($A4,'Por secao'!$V$2:$V$29,0))</f>
        <v>0.62121212121212122</v>
      </c>
      <c r="H4" s="38">
        <f>INDEX('Por secao'!$T$2:$T$29,MATCH($A4,'Por secao'!$V$2:$V$29,0))</f>
        <v>-98</v>
      </c>
      <c r="I4" s="39">
        <f>INDEX('Por secao'!$U$2:$U$29,MATCH($A4,'Por secao'!$V$2:$V$29,0))</f>
        <v>-0.16610169491525428</v>
      </c>
      <c r="J4" s="11" t="str">
        <f>INDEX('Por secao'!$W$2:$W$29,MATCH($A4,'Por secao'!$V$2:$V$29,0))</f>
        <v>Alto</v>
      </c>
    </row>
    <row r="5" spans="1:10" x14ac:dyDescent="0.25">
      <c r="A5" s="11">
        <v>4</v>
      </c>
      <c r="B5" s="11">
        <f>INDEX('Por secao'!$A$2:$A$29,MATCH($A5,'Por secao'!$V$2:$V$29,0))</f>
        <v>3311</v>
      </c>
      <c r="C5" s="11">
        <f>IF(INDEX('Por secao'!$L$2:$L$29,MATCH($A5,'Por secao'!$V$2:$V$29,0))="","—",INDEX('Por secao'!$L$2:$L$29,MATCH($A5,'Por secao'!$V$2:$V$29,0)))</f>
        <v>3913</v>
      </c>
      <c r="D5" s="36">
        <f>INDEX('Por secao'!$P$2:$P$29,MATCH($A5,'Por secao'!$V$2:$V$29,0))</f>
        <v>626</v>
      </c>
      <c r="E5" s="36">
        <f>INDEX('Por secao'!$N$2:$N$29,MATCH($A5,'Por secao'!$V$2:$V$29,0))</f>
        <v>466</v>
      </c>
      <c r="F5" s="36">
        <f>INDEX('Por secao'!$Q$2:$Q$29,MATCH($A5,'Por secao'!$V$2:$V$29,0))</f>
        <v>384</v>
      </c>
      <c r="G5" s="37">
        <f>INDEX('Por secao'!$S$2:$S$29,MATCH($A5,'Por secao'!$V$2:$V$29,0))</f>
        <v>0.61341853035143767</v>
      </c>
      <c r="H5" s="38">
        <f>INDEX('Por secao'!$T$2:$T$29,MATCH($A5,'Por secao'!$V$2:$V$29,0))</f>
        <v>-82</v>
      </c>
      <c r="I5" s="39">
        <f>INDEX('Por secao'!$U$2:$U$29,MATCH($A5,'Por secao'!$V$2:$V$29,0))</f>
        <v>-0.17596566523605151</v>
      </c>
      <c r="J5" s="11" t="str">
        <f>INDEX('Por secao'!$W$2:$W$29,MATCH($A5,'Por secao'!$V$2:$V$29,0))</f>
        <v>Médio</v>
      </c>
    </row>
    <row r="6" spans="1:10" x14ac:dyDescent="0.25">
      <c r="A6" s="11">
        <v>5</v>
      </c>
      <c r="B6" s="11">
        <f>INDEX('Por secao'!$A$2:$A$29,MATCH($A6,'Por secao'!$V$2:$V$29,0))</f>
        <v>3302</v>
      </c>
      <c r="C6" s="11">
        <f>IF(INDEX('Por secao'!$L$2:$L$29,MATCH($A6,'Por secao'!$V$2:$V$29,0))="","—",INDEX('Por secao'!$L$2:$L$29,MATCH($A6,'Por secao'!$V$2:$V$29,0)))</f>
        <v>3181</v>
      </c>
      <c r="D6" s="36">
        <f>INDEX('Por secao'!$P$2:$P$29,MATCH($A6,'Por secao'!$V$2:$V$29,0))</f>
        <v>763</v>
      </c>
      <c r="E6" s="36">
        <f>INDEX('Por secao'!$N$2:$N$29,MATCH($A6,'Por secao'!$V$2:$V$29,0))</f>
        <v>518</v>
      </c>
      <c r="F6" s="36">
        <f>INDEX('Por secao'!$Q$2:$Q$29,MATCH($A6,'Por secao'!$V$2:$V$29,0))</f>
        <v>373</v>
      </c>
      <c r="G6" s="37">
        <f>INDEX('Por secao'!$S$2:$S$29,MATCH($A6,'Por secao'!$V$2:$V$29,0))</f>
        <v>0.48885976408912191</v>
      </c>
      <c r="H6" s="38">
        <f>INDEX('Por secao'!$T$2:$T$29,MATCH($A6,'Por secao'!$V$2:$V$29,0))</f>
        <v>-145</v>
      </c>
      <c r="I6" s="39">
        <f>INDEX('Por secao'!$U$2:$U$29,MATCH($A6,'Por secao'!$V$2:$V$29,0))</f>
        <v>-0.27992277992277992</v>
      </c>
      <c r="J6" s="11" t="str">
        <f>INDEX('Por secao'!$W$2:$W$29,MATCH($A6,'Por secao'!$V$2:$V$29,0))</f>
        <v>Médio</v>
      </c>
    </row>
    <row r="7" spans="1:10" x14ac:dyDescent="0.25">
      <c r="A7" s="11">
        <v>6</v>
      </c>
      <c r="B7" s="11">
        <f>INDEX('Por secao'!$A$2:$A$29,MATCH($A7,'Por secao'!$V$2:$V$29,0))</f>
        <v>3179</v>
      </c>
      <c r="C7" s="11">
        <f>IF(INDEX('Por secao'!$L$2:$L$29,MATCH($A7,'Por secao'!$V$2:$V$29,0))="","—",INDEX('Por secao'!$L$2:$L$29,MATCH($A7,'Por secao'!$V$2:$V$29,0)))</f>
        <v>530</v>
      </c>
      <c r="D7" s="36">
        <f>INDEX('Por secao'!$P$2:$P$29,MATCH($A7,'Por secao'!$V$2:$V$29,0))</f>
        <v>670</v>
      </c>
      <c r="E7" s="36">
        <f>INDEX('Por secao'!$N$2:$N$29,MATCH($A7,'Por secao'!$V$2:$V$29,0))</f>
        <v>423</v>
      </c>
      <c r="F7" s="36">
        <f>INDEX('Por secao'!$Q$2:$Q$29,MATCH($A7,'Por secao'!$V$2:$V$29,0))</f>
        <v>349</v>
      </c>
      <c r="G7" s="37">
        <f>INDEX('Por secao'!$S$2:$S$29,MATCH($A7,'Por secao'!$V$2:$V$29,0))</f>
        <v>0.5208955223880597</v>
      </c>
      <c r="H7" s="38">
        <f>INDEX('Por secao'!$T$2:$T$29,MATCH($A7,'Por secao'!$V$2:$V$29,0))</f>
        <v>-74</v>
      </c>
      <c r="I7" s="39">
        <f>INDEX('Por secao'!$U$2:$U$29,MATCH($A7,'Por secao'!$V$2:$V$29,0))</f>
        <v>-0.17494089834515369</v>
      </c>
      <c r="J7" s="11" t="str">
        <f>INDEX('Por secao'!$W$2:$W$29,MATCH($A7,'Por secao'!$V$2:$V$29,0))</f>
        <v>Médio</v>
      </c>
    </row>
    <row r="8" spans="1:10" x14ac:dyDescent="0.25">
      <c r="A8" s="11">
        <v>7</v>
      </c>
      <c r="B8" s="11">
        <f>INDEX('Por secao'!$A$2:$A$29,MATCH($A8,'Por secao'!$V$2:$V$29,0))</f>
        <v>3306</v>
      </c>
      <c r="C8" s="11">
        <f>IF(INDEX('Por secao'!$L$2:$L$29,MATCH($A8,'Por secao'!$V$2:$V$29,0))="","—",INDEX('Por secao'!$L$2:$L$29,MATCH($A8,'Por secao'!$V$2:$V$29,0)))</f>
        <v>518</v>
      </c>
      <c r="D8" s="36">
        <f>INDEX('Por secao'!$P$2:$P$29,MATCH($A8,'Por secao'!$V$2:$V$29,0))</f>
        <v>761</v>
      </c>
      <c r="E8" s="36">
        <f>INDEX('Por secao'!$N$2:$N$29,MATCH($A8,'Por secao'!$V$2:$V$29,0))</f>
        <v>515</v>
      </c>
      <c r="F8" s="36">
        <f>INDEX('Por secao'!$Q$2:$Q$29,MATCH($A8,'Por secao'!$V$2:$V$29,0))</f>
        <v>345</v>
      </c>
      <c r="G8" s="37">
        <f>INDEX('Por secao'!$S$2:$S$29,MATCH($A8,'Por secao'!$V$2:$V$29,0))</f>
        <v>0.45335085413929038</v>
      </c>
      <c r="H8" s="38">
        <f>INDEX('Por secao'!$T$2:$T$29,MATCH($A8,'Por secao'!$V$2:$V$29,0))</f>
        <v>-170</v>
      </c>
      <c r="I8" s="39">
        <f>INDEX('Por secao'!$U$2:$U$29,MATCH($A8,'Por secao'!$V$2:$V$29,0))</f>
        <v>-0.33009708737864074</v>
      </c>
      <c r="J8" s="11" t="str">
        <f>INDEX('Por secao'!$W$2:$W$29,MATCH($A8,'Por secao'!$V$2:$V$29,0))</f>
        <v>Médio</v>
      </c>
    </row>
    <row r="9" spans="1:10" x14ac:dyDescent="0.25">
      <c r="A9" s="11">
        <v>8</v>
      </c>
      <c r="B9" s="11">
        <f>INDEX('Por secao'!$A$2:$A$29,MATCH($A9,'Por secao'!$V$2:$V$29,0))</f>
        <v>3161</v>
      </c>
      <c r="C9" s="11">
        <f>IF(INDEX('Por secao'!$L$2:$L$29,MATCH($A9,'Por secao'!$V$2:$V$29,0))="","—",INDEX('Por secao'!$L$2:$L$29,MATCH($A9,'Por secao'!$V$2:$V$29,0)))</f>
        <v>3307</v>
      </c>
      <c r="D9" s="36">
        <f>INDEX('Por secao'!$P$2:$P$29,MATCH($A9,'Por secao'!$V$2:$V$29,0))</f>
        <v>787</v>
      </c>
      <c r="E9" s="36">
        <f>INDEX('Por secao'!$N$2:$N$29,MATCH($A9,'Por secao'!$V$2:$V$29,0))</f>
        <v>504</v>
      </c>
      <c r="F9" s="36">
        <f>INDEX('Por secao'!$Q$2:$Q$29,MATCH($A9,'Por secao'!$V$2:$V$29,0))</f>
        <v>328</v>
      </c>
      <c r="G9" s="37">
        <f>INDEX('Por secao'!$S$2:$S$29,MATCH($A9,'Por secao'!$V$2:$V$29,0))</f>
        <v>0.41677255400254132</v>
      </c>
      <c r="H9" s="38">
        <f>INDEX('Por secao'!$T$2:$T$29,MATCH($A9,'Por secao'!$V$2:$V$29,0))</f>
        <v>-176</v>
      </c>
      <c r="I9" s="39">
        <f>INDEX('Por secao'!$U$2:$U$29,MATCH($A9,'Por secao'!$V$2:$V$29,0))</f>
        <v>-0.34920634920634919</v>
      </c>
      <c r="J9" s="11" t="str">
        <f>INDEX('Por secao'!$W$2:$W$29,MATCH($A9,'Por secao'!$V$2:$V$29,0))</f>
        <v>Baixo</v>
      </c>
    </row>
    <row r="10" spans="1:10" x14ac:dyDescent="0.25">
      <c r="A10" s="11">
        <v>9</v>
      </c>
      <c r="B10" s="11">
        <f>INDEX('Por secao'!$A$2:$A$29,MATCH($A10,'Por secao'!$V$2:$V$29,0))</f>
        <v>3245</v>
      </c>
      <c r="C10" s="11">
        <f>IF(INDEX('Por secao'!$L$2:$L$29,MATCH($A10,'Por secao'!$V$2:$V$29,0))="","—",INDEX('Por secao'!$L$2:$L$29,MATCH($A10,'Por secao'!$V$2:$V$29,0)))</f>
        <v>519</v>
      </c>
      <c r="D10" s="36">
        <f>INDEX('Por secao'!$P$2:$P$29,MATCH($A10,'Por secao'!$V$2:$V$29,0))</f>
        <v>778</v>
      </c>
      <c r="E10" s="36">
        <f>INDEX('Por secao'!$N$2:$N$29,MATCH($A10,'Por secao'!$V$2:$V$29,0))</f>
        <v>498</v>
      </c>
      <c r="F10" s="36">
        <f>INDEX('Por secao'!$Q$2:$Q$29,MATCH($A10,'Por secao'!$V$2:$V$29,0))</f>
        <v>322</v>
      </c>
      <c r="G10" s="37">
        <f>INDEX('Por secao'!$S$2:$S$29,MATCH($A10,'Por secao'!$V$2:$V$29,0))</f>
        <v>0.41388174807197942</v>
      </c>
      <c r="H10" s="38">
        <f>INDEX('Por secao'!$T$2:$T$29,MATCH($A10,'Por secao'!$V$2:$V$29,0))</f>
        <v>-176</v>
      </c>
      <c r="I10" s="39">
        <f>INDEX('Por secao'!$U$2:$U$29,MATCH($A10,'Por secao'!$V$2:$V$29,0))</f>
        <v>-0.35341365461847385</v>
      </c>
      <c r="J10" s="11" t="str">
        <f>INDEX('Por secao'!$W$2:$W$29,MATCH($A10,'Por secao'!$V$2:$V$29,0))</f>
        <v>Baixo</v>
      </c>
    </row>
    <row r="11" spans="1:10" x14ac:dyDescent="0.25">
      <c r="A11" s="11">
        <v>10</v>
      </c>
      <c r="B11" s="11">
        <f>INDEX('Por secao'!$A$2:$A$29,MATCH($A11,'Por secao'!$V$2:$V$29,0))</f>
        <v>3108</v>
      </c>
      <c r="C11" s="11">
        <f>IF(INDEX('Por secao'!$L$2:$L$29,MATCH($A11,'Por secao'!$V$2:$V$29,0))="","—",INDEX('Por secao'!$L$2:$L$29,MATCH($A11,'Por secao'!$V$2:$V$29,0)))</f>
        <v>3422</v>
      </c>
      <c r="D11" s="36">
        <f>INDEX('Por secao'!$P$2:$P$29,MATCH($A11,'Por secao'!$V$2:$V$29,0))</f>
        <v>752</v>
      </c>
      <c r="E11" s="36">
        <f>INDEX('Por secao'!$N$2:$N$29,MATCH($A11,'Por secao'!$V$2:$V$29,0))</f>
        <v>467</v>
      </c>
      <c r="F11" s="36">
        <f>INDEX('Por secao'!$Q$2:$Q$29,MATCH($A11,'Por secao'!$V$2:$V$29,0))</f>
        <v>320</v>
      </c>
      <c r="G11" s="37">
        <f>INDEX('Por secao'!$S$2:$S$29,MATCH($A11,'Por secao'!$V$2:$V$29,0))</f>
        <v>0.42553191489361702</v>
      </c>
      <c r="H11" s="38">
        <f>INDEX('Por secao'!$T$2:$T$29,MATCH($A11,'Por secao'!$V$2:$V$29,0))</f>
        <v>-147</v>
      </c>
      <c r="I11" s="39">
        <f>INDEX('Por secao'!$U$2:$U$29,MATCH($A11,'Por secao'!$V$2:$V$29,0))</f>
        <v>-0.31477516059957178</v>
      </c>
      <c r="J11" s="11" t="str">
        <f>INDEX('Por secao'!$W$2:$W$29,MATCH($A11,'Por secao'!$V$2:$V$29,0))</f>
        <v>Baixo</v>
      </c>
    </row>
    <row r="12" spans="1:10" x14ac:dyDescent="0.25">
      <c r="A12" s="11">
        <v>11</v>
      </c>
      <c r="B12" s="11">
        <f>INDEX('Por secao'!$A$2:$A$29,MATCH($A12,'Por secao'!$V$2:$V$29,0))</f>
        <v>3142</v>
      </c>
      <c r="C12" s="11">
        <f>IF(INDEX('Por secao'!$L$2:$L$29,MATCH($A12,'Por secao'!$V$2:$V$29,0))="","—",INDEX('Por secao'!$L$2:$L$29,MATCH($A12,'Por secao'!$V$2:$V$29,0)))</f>
        <v>1278</v>
      </c>
      <c r="D12" s="36">
        <f>INDEX('Por secao'!$P$2:$P$29,MATCH($A12,'Por secao'!$V$2:$V$29,0))</f>
        <v>787</v>
      </c>
      <c r="E12" s="36">
        <f>INDEX('Por secao'!$N$2:$N$29,MATCH($A12,'Por secao'!$V$2:$V$29,0))</f>
        <v>466</v>
      </c>
      <c r="F12" s="36">
        <f>INDEX('Por secao'!$Q$2:$Q$29,MATCH($A12,'Por secao'!$V$2:$V$29,0))</f>
        <v>318</v>
      </c>
      <c r="G12" s="37">
        <f>INDEX('Por secao'!$S$2:$S$29,MATCH($A12,'Por secao'!$V$2:$V$29,0))</f>
        <v>0.40406607369758579</v>
      </c>
      <c r="H12" s="38">
        <f>INDEX('Por secao'!$T$2:$T$29,MATCH($A12,'Por secao'!$V$2:$V$29,0))</f>
        <v>-148</v>
      </c>
      <c r="I12" s="39">
        <f>INDEX('Por secao'!$U$2:$U$29,MATCH($A12,'Por secao'!$V$2:$V$29,0))</f>
        <v>-0.31759656652360513</v>
      </c>
      <c r="J12" s="11" t="str">
        <f>INDEX('Por secao'!$W$2:$W$29,MATCH($A12,'Por secao'!$V$2:$V$29,0))</f>
        <v>Baixo</v>
      </c>
    </row>
    <row r="13" spans="1:10" x14ac:dyDescent="0.25">
      <c r="A13" s="11">
        <v>12</v>
      </c>
      <c r="B13" s="11">
        <f>INDEX('Por secao'!$A$2:$A$29,MATCH($A13,'Por secao'!$V$2:$V$29,0))</f>
        <v>3229</v>
      </c>
      <c r="C13" s="11">
        <f>IF(INDEX('Por secao'!$L$2:$L$29,MATCH($A13,'Por secao'!$V$2:$V$29,0))="","—",INDEX('Por secao'!$L$2:$L$29,MATCH($A13,'Por secao'!$V$2:$V$29,0)))</f>
        <v>3821</v>
      </c>
      <c r="D13" s="36">
        <f>INDEX('Por secao'!$P$2:$P$29,MATCH($A13,'Por secao'!$V$2:$V$29,0))</f>
        <v>601</v>
      </c>
      <c r="E13" s="36">
        <f>INDEX('Por secao'!$N$2:$N$29,MATCH($A13,'Por secao'!$V$2:$V$29,0))</f>
        <v>405</v>
      </c>
      <c r="F13" s="36">
        <f>INDEX('Por secao'!$Q$2:$Q$29,MATCH($A13,'Por secao'!$V$2:$V$29,0))</f>
        <v>318</v>
      </c>
      <c r="G13" s="37">
        <f>INDEX('Por secao'!$S$2:$S$29,MATCH($A13,'Por secao'!$V$2:$V$29,0))</f>
        <v>0.52911813643926786</v>
      </c>
      <c r="H13" s="38">
        <f>INDEX('Por secao'!$T$2:$T$29,MATCH($A13,'Por secao'!$V$2:$V$29,0))</f>
        <v>-87</v>
      </c>
      <c r="I13" s="39">
        <f>INDEX('Por secao'!$U$2:$U$29,MATCH($A13,'Por secao'!$V$2:$V$29,0))</f>
        <v>-0.21481481481481479</v>
      </c>
      <c r="J13" s="11" t="str">
        <f>INDEX('Por secao'!$W$2:$W$29,MATCH($A13,'Por secao'!$V$2:$V$29,0))</f>
        <v>Baixo</v>
      </c>
    </row>
    <row r="14" spans="1:10" x14ac:dyDescent="0.25">
      <c r="A14" s="11">
        <v>13</v>
      </c>
      <c r="B14" s="11">
        <f>INDEX('Por secao'!$A$2:$A$29,MATCH($A14,'Por secao'!$V$2:$V$29,0))</f>
        <v>3832</v>
      </c>
      <c r="C14" s="11" t="str">
        <f>IF(INDEX('Por secao'!$L$2:$L$29,MATCH($A14,'Por secao'!$V$2:$V$29,0))="","—",INDEX('Por secao'!$L$2:$L$29,MATCH($A14,'Por secao'!$V$2:$V$29,0)))</f>
        <v>—</v>
      </c>
      <c r="D14" s="36">
        <f>INDEX('Por secao'!$P$2:$P$29,MATCH($A14,'Por secao'!$V$2:$V$29,0))</f>
        <v>399</v>
      </c>
      <c r="E14" s="36">
        <f>INDEX('Por secao'!$N$2:$N$29,MATCH($A14,'Por secao'!$V$2:$V$29,0))</f>
        <v>296</v>
      </c>
      <c r="F14" s="36">
        <f>INDEX('Por secao'!$Q$2:$Q$29,MATCH($A14,'Por secao'!$V$2:$V$29,0))</f>
        <v>306</v>
      </c>
      <c r="G14" s="37">
        <f>INDEX('Por secao'!$S$2:$S$29,MATCH($A14,'Por secao'!$V$2:$V$29,0))</f>
        <v>0.76691729323308266</v>
      </c>
      <c r="H14" s="38">
        <f>INDEX('Por secao'!$T$2:$T$29,MATCH($A14,'Por secao'!$V$2:$V$29,0))</f>
        <v>10</v>
      </c>
      <c r="I14" s="39">
        <f>INDEX('Por secao'!$U$2:$U$29,MATCH($A14,'Por secao'!$V$2:$V$29,0))</f>
        <v>3.3783783783783772E-2</v>
      </c>
      <c r="J14" s="11" t="str">
        <f>INDEX('Por secao'!$W$2:$W$29,MATCH($A14,'Por secao'!$V$2:$V$29,0))</f>
        <v>Baixo</v>
      </c>
    </row>
    <row r="15" spans="1:10" x14ac:dyDescent="0.25">
      <c r="A15" s="11">
        <v>14</v>
      </c>
      <c r="B15" s="11">
        <f>INDEX('Por secao'!$A$2:$A$29,MATCH($A15,'Por secao'!$V$2:$V$29,0))</f>
        <v>3862</v>
      </c>
      <c r="C15" s="11" t="str">
        <f>IF(INDEX('Por secao'!$L$2:$L$29,MATCH($A15,'Por secao'!$V$2:$V$29,0))="","—",INDEX('Por secao'!$L$2:$L$29,MATCH($A15,'Por secao'!$V$2:$V$29,0)))</f>
        <v>—</v>
      </c>
      <c r="D15" s="36">
        <f>INDEX('Por secao'!$P$2:$P$29,MATCH($A15,'Por secao'!$V$2:$V$29,0))</f>
        <v>400</v>
      </c>
      <c r="E15" s="36">
        <f>INDEX('Por secao'!$N$2:$N$29,MATCH($A15,'Por secao'!$V$2:$V$29,0))</f>
        <v>296</v>
      </c>
      <c r="F15" s="36">
        <f>INDEX('Por secao'!$Q$2:$Q$29,MATCH($A15,'Por secao'!$V$2:$V$29,0))</f>
        <v>302</v>
      </c>
      <c r="G15" s="37">
        <f>INDEX('Por secao'!$S$2:$S$29,MATCH($A15,'Por secao'!$V$2:$V$29,0))</f>
        <v>0.755</v>
      </c>
      <c r="H15" s="38">
        <f>INDEX('Por secao'!$T$2:$T$29,MATCH($A15,'Por secao'!$V$2:$V$29,0))</f>
        <v>6</v>
      </c>
      <c r="I15" s="39">
        <f>INDEX('Por secao'!$U$2:$U$29,MATCH($A15,'Por secao'!$V$2:$V$29,0))</f>
        <v>2.0270270270270174E-2</v>
      </c>
      <c r="J15" s="11" t="str">
        <f>INDEX('Por secao'!$W$2:$W$29,MATCH($A15,'Por secao'!$V$2:$V$29,0))</f>
        <v>Baixo</v>
      </c>
    </row>
    <row r="16" spans="1:10" x14ac:dyDescent="0.25">
      <c r="A16" s="11">
        <v>15</v>
      </c>
      <c r="B16" s="11">
        <f>INDEX('Por secao'!$A$2:$A$29,MATCH($A16,'Por secao'!$V$2:$V$29,0))</f>
        <v>3216</v>
      </c>
      <c r="C16" s="11">
        <f>IF(INDEX('Por secao'!$L$2:$L$29,MATCH($A16,'Por secao'!$V$2:$V$29,0))="","—",INDEX('Por secao'!$L$2:$L$29,MATCH($A16,'Por secao'!$V$2:$V$29,0)))</f>
        <v>527</v>
      </c>
      <c r="D16" s="36">
        <f>INDEX('Por secao'!$P$2:$P$29,MATCH($A16,'Por secao'!$V$2:$V$29,0))</f>
        <v>568</v>
      </c>
      <c r="E16" s="36">
        <f>INDEX('Por secao'!$N$2:$N$29,MATCH($A16,'Por secao'!$V$2:$V$29,0))</f>
        <v>407</v>
      </c>
      <c r="F16" s="36">
        <f>INDEX('Por secao'!$Q$2:$Q$29,MATCH($A16,'Por secao'!$V$2:$V$29,0))</f>
        <v>278</v>
      </c>
      <c r="G16" s="37">
        <f>INDEX('Por secao'!$S$2:$S$29,MATCH($A16,'Por secao'!$V$2:$V$29,0))</f>
        <v>0.48943661971830987</v>
      </c>
      <c r="H16" s="38">
        <f>INDEX('Por secao'!$T$2:$T$29,MATCH($A16,'Por secao'!$V$2:$V$29,0))</f>
        <v>-129</v>
      </c>
      <c r="I16" s="39">
        <f>INDEX('Por secao'!$U$2:$U$29,MATCH($A16,'Por secao'!$V$2:$V$29,0))</f>
        <v>-0.31695331695331697</v>
      </c>
      <c r="J16" s="11" t="str">
        <f>INDEX('Por secao'!$W$2:$W$29,MATCH($A16,'Por secao'!$V$2:$V$29,0))</f>
        <v>Baixo</v>
      </c>
    </row>
    <row r="17" spans="1:10" x14ac:dyDescent="0.25">
      <c r="A17" s="11">
        <v>16</v>
      </c>
      <c r="B17" s="11">
        <f>INDEX('Por secao'!$A$2:$A$29,MATCH($A17,'Por secao'!$V$2:$V$29,0))</f>
        <v>3309</v>
      </c>
      <c r="C17" s="11">
        <f>IF(INDEX('Por secao'!$L$2:$L$29,MATCH($A17,'Por secao'!$V$2:$V$29,0))="","—",INDEX('Por secao'!$L$2:$L$29,MATCH($A17,'Por secao'!$V$2:$V$29,0)))</f>
        <v>1314</v>
      </c>
      <c r="D17" s="36">
        <f>INDEX('Por secao'!$P$2:$P$29,MATCH($A17,'Por secao'!$V$2:$V$29,0))</f>
        <v>614</v>
      </c>
      <c r="E17" s="36">
        <f>INDEX('Por secao'!$N$2:$N$29,MATCH($A17,'Por secao'!$V$2:$V$29,0))</f>
        <v>395</v>
      </c>
      <c r="F17" s="36">
        <f>INDEX('Por secao'!$Q$2:$Q$29,MATCH($A17,'Por secao'!$V$2:$V$29,0))</f>
        <v>278</v>
      </c>
      <c r="G17" s="37">
        <f>INDEX('Por secao'!$S$2:$S$29,MATCH($A17,'Por secao'!$V$2:$V$29,0))</f>
        <v>0.45276872964169379</v>
      </c>
      <c r="H17" s="38">
        <f>INDEX('Por secao'!$T$2:$T$29,MATCH($A17,'Por secao'!$V$2:$V$29,0))</f>
        <v>-117</v>
      </c>
      <c r="I17" s="39">
        <f>INDEX('Por secao'!$U$2:$U$29,MATCH($A17,'Por secao'!$V$2:$V$29,0))</f>
        <v>-0.29620253164556964</v>
      </c>
      <c r="J17" s="11" t="str">
        <f>INDEX('Por secao'!$W$2:$W$29,MATCH($A17,'Por secao'!$V$2:$V$29,0))</f>
        <v>Baixo</v>
      </c>
    </row>
    <row r="18" spans="1:10" x14ac:dyDescent="0.25">
      <c r="A18" s="11">
        <v>17</v>
      </c>
      <c r="B18" s="11">
        <f>INDEX('Por secao'!$A$2:$A$29,MATCH($A18,'Por secao'!$V$2:$V$29,0))</f>
        <v>3305</v>
      </c>
      <c r="C18" s="11">
        <f>IF(INDEX('Por secao'!$L$2:$L$29,MATCH($A18,'Por secao'!$V$2:$V$29,0))="","—",INDEX('Por secao'!$L$2:$L$29,MATCH($A18,'Por secao'!$V$2:$V$29,0)))</f>
        <v>521</v>
      </c>
      <c r="D18" s="36">
        <f>INDEX('Por secao'!$P$2:$P$29,MATCH($A18,'Por secao'!$V$2:$V$29,0))</f>
        <v>764</v>
      </c>
      <c r="E18" s="36">
        <f>INDEX('Por secao'!$N$2:$N$29,MATCH($A18,'Por secao'!$V$2:$V$29,0))</f>
        <v>472</v>
      </c>
      <c r="F18" s="36">
        <f>INDEX('Por secao'!$Q$2:$Q$29,MATCH($A18,'Por secao'!$V$2:$V$29,0))</f>
        <v>265</v>
      </c>
      <c r="G18" s="37">
        <f>INDEX('Por secao'!$S$2:$S$29,MATCH($A18,'Por secao'!$V$2:$V$29,0))</f>
        <v>0.34685863874345552</v>
      </c>
      <c r="H18" s="38">
        <f>INDEX('Por secao'!$T$2:$T$29,MATCH($A18,'Por secao'!$V$2:$V$29,0))</f>
        <v>-207</v>
      </c>
      <c r="I18" s="39">
        <f>INDEX('Por secao'!$U$2:$U$29,MATCH($A18,'Por secao'!$V$2:$V$29,0))</f>
        <v>-0.43855932203389836</v>
      </c>
      <c r="J18" s="11" t="str">
        <f>INDEX('Por secao'!$W$2:$W$29,MATCH($A18,'Por secao'!$V$2:$V$29,0))</f>
        <v>Baixo</v>
      </c>
    </row>
    <row r="19" spans="1:10" x14ac:dyDescent="0.25">
      <c r="A19" s="11">
        <v>18</v>
      </c>
      <c r="B19" s="11">
        <f>INDEX('Por secao'!$A$2:$A$29,MATCH($A19,'Por secao'!$V$2:$V$29,0))</f>
        <v>3688</v>
      </c>
      <c r="C19" s="11" t="str">
        <f>IF(INDEX('Por secao'!$L$2:$L$29,MATCH($A19,'Por secao'!$V$2:$V$29,0))="","—",INDEX('Por secao'!$L$2:$L$29,MATCH($A19,'Por secao'!$V$2:$V$29,0)))</f>
        <v>—</v>
      </c>
      <c r="D19" s="36">
        <f>INDEX('Por secao'!$P$2:$P$29,MATCH($A19,'Por secao'!$V$2:$V$29,0))</f>
        <v>399</v>
      </c>
      <c r="E19" s="36">
        <f>INDEX('Por secao'!$N$2:$N$29,MATCH($A19,'Por secao'!$V$2:$V$29,0))</f>
        <v>296</v>
      </c>
      <c r="F19" s="36">
        <f>INDEX('Por secao'!$Q$2:$Q$29,MATCH($A19,'Por secao'!$V$2:$V$29,0))</f>
        <v>265</v>
      </c>
      <c r="G19" s="37">
        <f>INDEX('Por secao'!$S$2:$S$29,MATCH($A19,'Por secao'!$V$2:$V$29,0))</f>
        <v>0.66416040100250628</v>
      </c>
      <c r="H19" s="38">
        <f>INDEX('Por secao'!$T$2:$T$29,MATCH($A19,'Por secao'!$V$2:$V$29,0))</f>
        <v>-31</v>
      </c>
      <c r="I19" s="39">
        <f>INDEX('Por secao'!$U$2:$U$29,MATCH($A19,'Por secao'!$V$2:$V$29,0))</f>
        <v>-0.10472972972972971</v>
      </c>
      <c r="J19" s="11" t="str">
        <f>INDEX('Por secao'!$W$2:$W$29,MATCH($A19,'Por secao'!$V$2:$V$29,0))</f>
        <v>Baixo</v>
      </c>
    </row>
    <row r="20" spans="1:10" x14ac:dyDescent="0.25">
      <c r="A20" s="11">
        <v>19</v>
      </c>
      <c r="B20" s="11">
        <f>INDEX('Por secao'!$A$2:$A$29,MATCH($A20,'Por secao'!$V$2:$V$29,0))</f>
        <v>3078</v>
      </c>
      <c r="C20" s="11">
        <f>IF(INDEX('Por secao'!$L$2:$L$29,MATCH($A20,'Por secao'!$V$2:$V$29,0))="","—",INDEX('Por secao'!$L$2:$L$29,MATCH($A20,'Por secao'!$V$2:$V$29,0)))</f>
        <v>2847</v>
      </c>
      <c r="D20" s="36">
        <f>INDEX('Por secao'!$P$2:$P$29,MATCH($A20,'Por secao'!$V$2:$V$29,0))</f>
        <v>427</v>
      </c>
      <c r="E20" s="36">
        <f>INDEX('Por secao'!$N$2:$N$29,MATCH($A20,'Por secao'!$V$2:$V$29,0))</f>
        <v>311</v>
      </c>
      <c r="F20" s="36">
        <f>INDEX('Por secao'!$Q$2:$Q$29,MATCH($A20,'Por secao'!$V$2:$V$29,0))</f>
        <v>259</v>
      </c>
      <c r="G20" s="37">
        <f>INDEX('Por secao'!$S$2:$S$29,MATCH($A20,'Por secao'!$V$2:$V$29,0))</f>
        <v>0.60655737704918034</v>
      </c>
      <c r="H20" s="38">
        <f>INDEX('Por secao'!$T$2:$T$29,MATCH($A20,'Por secao'!$V$2:$V$29,0))</f>
        <v>-52</v>
      </c>
      <c r="I20" s="39">
        <f>INDEX('Por secao'!$U$2:$U$29,MATCH($A20,'Por secao'!$V$2:$V$29,0))</f>
        <v>-0.16720257234726688</v>
      </c>
      <c r="J20" s="11" t="str">
        <f>INDEX('Por secao'!$W$2:$W$29,MATCH($A20,'Por secao'!$V$2:$V$29,0))</f>
        <v>Baixo</v>
      </c>
    </row>
    <row r="21" spans="1:10" x14ac:dyDescent="0.25">
      <c r="A21" s="11">
        <v>20</v>
      </c>
      <c r="B21" s="11">
        <f>INDEX('Por secao'!$A$2:$A$29,MATCH($A21,'Por secao'!$V$2:$V$29,0))</f>
        <v>3054</v>
      </c>
      <c r="C21" s="11">
        <f>IF(INDEX('Por secao'!$L$2:$L$29,MATCH($A21,'Por secao'!$V$2:$V$29,0))="","—",INDEX('Por secao'!$L$2:$L$29,MATCH($A21,'Por secao'!$V$2:$V$29,0)))</f>
        <v>1099</v>
      </c>
      <c r="D21" s="36">
        <f>INDEX('Por secao'!$P$2:$P$29,MATCH($A21,'Por secao'!$V$2:$V$29,0))</f>
        <v>452</v>
      </c>
      <c r="E21" s="36">
        <f>INDEX('Por secao'!$N$2:$N$29,MATCH($A21,'Por secao'!$V$2:$V$29,0))</f>
        <v>325</v>
      </c>
      <c r="F21" s="36">
        <f>INDEX('Por secao'!$Q$2:$Q$29,MATCH($A21,'Por secao'!$V$2:$V$29,0))</f>
        <v>256</v>
      </c>
      <c r="G21" s="37">
        <f>INDEX('Por secao'!$S$2:$S$29,MATCH($A21,'Por secao'!$V$2:$V$29,0))</f>
        <v>0.5663716814159292</v>
      </c>
      <c r="H21" s="38">
        <f>INDEX('Por secao'!$T$2:$T$29,MATCH($A21,'Por secao'!$V$2:$V$29,0))</f>
        <v>-69</v>
      </c>
      <c r="I21" s="39">
        <f>INDEX('Por secao'!$U$2:$U$29,MATCH($A21,'Por secao'!$V$2:$V$29,0))</f>
        <v>-0.21230769230769231</v>
      </c>
      <c r="J21" s="11" t="str">
        <f>INDEX('Por secao'!$W$2:$W$29,MATCH($A21,'Por secao'!$V$2:$V$29,0))</f>
        <v>Baixo</v>
      </c>
    </row>
    <row r="22" spans="1:10" x14ac:dyDescent="0.25">
      <c r="A22" s="11">
        <v>21</v>
      </c>
      <c r="B22" s="11">
        <f>INDEX('Por secao'!$A$2:$A$29,MATCH($A22,'Por secao'!$V$2:$V$29,0))</f>
        <v>1160</v>
      </c>
      <c r="C22" s="11">
        <f>IF(INDEX('Por secao'!$L$2:$L$29,MATCH($A22,'Por secao'!$V$2:$V$29,0))="","—",INDEX('Por secao'!$L$2:$L$29,MATCH($A22,'Por secao'!$V$2:$V$29,0)))</f>
        <v>3845</v>
      </c>
      <c r="D22" s="36">
        <f>INDEX('Por secao'!$P$2:$P$29,MATCH($A22,'Por secao'!$V$2:$V$29,0))</f>
        <v>472</v>
      </c>
      <c r="E22" s="36">
        <f>INDEX('Por secao'!$N$2:$N$29,MATCH($A22,'Por secao'!$V$2:$V$29,0))</f>
        <v>328</v>
      </c>
      <c r="F22" s="36">
        <f>INDEX('Por secao'!$Q$2:$Q$29,MATCH($A22,'Por secao'!$V$2:$V$29,0))</f>
        <v>239</v>
      </c>
      <c r="G22" s="37">
        <f>INDEX('Por secao'!$S$2:$S$29,MATCH($A22,'Por secao'!$V$2:$V$29,0))</f>
        <v>0.50635593220338981</v>
      </c>
      <c r="H22" s="38">
        <f>INDEX('Por secao'!$T$2:$T$29,MATCH($A22,'Por secao'!$V$2:$V$29,0))</f>
        <v>-89</v>
      </c>
      <c r="I22" s="39">
        <f>INDEX('Por secao'!$U$2:$U$29,MATCH($A22,'Por secao'!$V$2:$V$29,0))</f>
        <v>-0.27134146341463417</v>
      </c>
      <c r="J22" s="11" t="str">
        <f>INDEX('Por secao'!$W$2:$W$29,MATCH($A22,'Por secao'!$V$2:$V$29,0))</f>
        <v>Baixo</v>
      </c>
    </row>
    <row r="23" spans="1:10" x14ac:dyDescent="0.25">
      <c r="A23" s="11">
        <v>22</v>
      </c>
      <c r="B23" s="11">
        <f>INDEX('Por secao'!$A$2:$A$29,MATCH($A23,'Por secao'!$V$2:$V$29,0))</f>
        <v>511</v>
      </c>
      <c r="C23" s="11">
        <f>IF(INDEX('Por secao'!$L$2:$L$29,MATCH($A23,'Por secao'!$V$2:$V$29,0))="","—",INDEX('Por secao'!$L$2:$L$29,MATCH($A23,'Por secao'!$V$2:$V$29,0)))</f>
        <v>1100</v>
      </c>
      <c r="D23" s="36">
        <f>INDEX('Por secao'!$P$2:$P$29,MATCH($A23,'Por secao'!$V$2:$V$29,0))</f>
        <v>582</v>
      </c>
      <c r="E23" s="36">
        <f>INDEX('Por secao'!$N$2:$N$29,MATCH($A23,'Por secao'!$V$2:$V$29,0))</f>
        <v>375</v>
      </c>
      <c r="F23" s="36">
        <f>INDEX('Por secao'!$Q$2:$Q$29,MATCH($A23,'Por secao'!$V$2:$V$29,0))</f>
        <v>226</v>
      </c>
      <c r="G23" s="37">
        <f>INDEX('Por secao'!$S$2:$S$29,MATCH($A23,'Por secao'!$V$2:$V$29,0))</f>
        <v>0.38831615120274915</v>
      </c>
      <c r="H23" s="38">
        <f>INDEX('Por secao'!$T$2:$T$29,MATCH($A23,'Por secao'!$V$2:$V$29,0))</f>
        <v>-149</v>
      </c>
      <c r="I23" s="39">
        <f>INDEX('Por secao'!$U$2:$U$29,MATCH($A23,'Por secao'!$V$2:$V$29,0))</f>
        <v>-0.39733333333333332</v>
      </c>
      <c r="J23" s="11" t="str">
        <f>INDEX('Por secao'!$W$2:$W$29,MATCH($A23,'Por secao'!$V$2:$V$29,0))</f>
        <v>Baixo</v>
      </c>
    </row>
    <row r="24" spans="1:10" x14ac:dyDescent="0.25">
      <c r="A24" s="11">
        <v>23</v>
      </c>
      <c r="B24" s="11">
        <f>INDEX('Por secao'!$A$2:$A$29,MATCH($A24,'Por secao'!$V$2:$V$29,0))</f>
        <v>517</v>
      </c>
      <c r="C24" s="11">
        <f>IF(INDEX('Por secao'!$L$2:$L$29,MATCH($A24,'Por secao'!$V$2:$V$29,0))="","—",INDEX('Por secao'!$L$2:$L$29,MATCH($A24,'Por secao'!$V$2:$V$29,0)))</f>
        <v>1292</v>
      </c>
      <c r="D24" s="36">
        <f>INDEX('Por secao'!$P$2:$P$29,MATCH($A24,'Por secao'!$V$2:$V$29,0))</f>
        <v>512</v>
      </c>
      <c r="E24" s="36">
        <f>INDEX('Por secao'!$N$2:$N$29,MATCH($A24,'Por secao'!$V$2:$V$29,0))</f>
        <v>348</v>
      </c>
      <c r="F24" s="36">
        <f>INDEX('Por secao'!$Q$2:$Q$29,MATCH($A24,'Por secao'!$V$2:$V$29,0))</f>
        <v>220</v>
      </c>
      <c r="G24" s="37">
        <f>INDEX('Por secao'!$S$2:$S$29,MATCH($A24,'Por secao'!$V$2:$V$29,0))</f>
        <v>0.4296875</v>
      </c>
      <c r="H24" s="38">
        <f>INDEX('Por secao'!$T$2:$T$29,MATCH($A24,'Por secao'!$V$2:$V$29,0))</f>
        <v>-128</v>
      </c>
      <c r="I24" s="39">
        <f>INDEX('Por secao'!$U$2:$U$29,MATCH($A24,'Por secao'!$V$2:$V$29,0))</f>
        <v>-0.36781609195402298</v>
      </c>
      <c r="J24" s="11" t="str">
        <f>INDEX('Por secao'!$W$2:$W$29,MATCH($A24,'Por secao'!$V$2:$V$29,0))</f>
        <v>Baixo</v>
      </c>
    </row>
    <row r="25" spans="1:10" x14ac:dyDescent="0.25">
      <c r="A25" s="11">
        <v>24</v>
      </c>
      <c r="B25" s="11">
        <f>INDEX('Por secao'!$A$2:$A$29,MATCH($A25,'Por secao'!$V$2:$V$29,0))</f>
        <v>512</v>
      </c>
      <c r="C25" s="11">
        <f>IF(INDEX('Por secao'!$L$2:$L$29,MATCH($A25,'Por secao'!$V$2:$V$29,0))="","—",INDEX('Por secao'!$L$2:$L$29,MATCH($A25,'Por secao'!$V$2:$V$29,0)))</f>
        <v>2855</v>
      </c>
      <c r="D25" s="36">
        <f>INDEX('Por secao'!$P$2:$P$29,MATCH($A25,'Por secao'!$V$2:$V$29,0))</f>
        <v>476</v>
      </c>
      <c r="E25" s="36">
        <f>INDEX('Por secao'!$N$2:$N$29,MATCH($A25,'Por secao'!$V$2:$V$29,0))</f>
        <v>355</v>
      </c>
      <c r="F25" s="36">
        <f>INDEX('Por secao'!$Q$2:$Q$29,MATCH($A25,'Por secao'!$V$2:$V$29,0))</f>
        <v>204</v>
      </c>
      <c r="G25" s="37">
        <f>INDEX('Por secao'!$S$2:$S$29,MATCH($A25,'Por secao'!$V$2:$V$29,0))</f>
        <v>0.42857142857142855</v>
      </c>
      <c r="H25" s="38">
        <f>INDEX('Por secao'!$T$2:$T$29,MATCH($A25,'Por secao'!$V$2:$V$29,0))</f>
        <v>-151</v>
      </c>
      <c r="I25" s="39">
        <f>INDEX('Por secao'!$U$2:$U$29,MATCH($A25,'Por secao'!$V$2:$V$29,0))</f>
        <v>-0.42535211267605633</v>
      </c>
      <c r="J25" s="11" t="str">
        <f>INDEX('Por secao'!$W$2:$W$29,MATCH($A25,'Por secao'!$V$2:$V$29,0))</f>
        <v>Baixo</v>
      </c>
    </row>
    <row r="26" spans="1:10" x14ac:dyDescent="0.25">
      <c r="A26" s="11">
        <v>25</v>
      </c>
      <c r="B26" s="11">
        <f>INDEX('Por secao'!$A$2:$A$29,MATCH($A26,'Por secao'!$V$2:$V$29,0))</f>
        <v>3308</v>
      </c>
      <c r="C26" s="11" t="str">
        <f>IF(INDEX('Por secao'!$L$2:$L$29,MATCH($A26,'Por secao'!$V$2:$V$29,0))="","—",INDEX('Por secao'!$L$2:$L$29,MATCH($A26,'Por secao'!$V$2:$V$29,0)))</f>
        <v>—</v>
      </c>
      <c r="D26" s="36">
        <f>INDEX('Por secao'!$P$2:$P$29,MATCH($A26,'Por secao'!$V$2:$V$29,0))</f>
        <v>396</v>
      </c>
      <c r="E26" s="36">
        <f>INDEX('Por secao'!$N$2:$N$29,MATCH($A26,'Por secao'!$V$2:$V$29,0))</f>
        <v>295</v>
      </c>
      <c r="F26" s="36">
        <f>INDEX('Por secao'!$Q$2:$Q$29,MATCH($A26,'Por secao'!$V$2:$V$29,0))</f>
        <v>204</v>
      </c>
      <c r="G26" s="37">
        <f>INDEX('Por secao'!$S$2:$S$29,MATCH($A26,'Por secao'!$V$2:$V$29,0))</f>
        <v>0.51515151515151514</v>
      </c>
      <c r="H26" s="38">
        <f>INDEX('Por secao'!$T$2:$T$29,MATCH($A26,'Por secao'!$V$2:$V$29,0))</f>
        <v>-91</v>
      </c>
      <c r="I26" s="39">
        <f>INDEX('Por secao'!$U$2:$U$29,MATCH($A26,'Por secao'!$V$2:$V$29,0))</f>
        <v>-0.30847457627118646</v>
      </c>
      <c r="J26" s="11" t="str">
        <f>INDEX('Por secao'!$W$2:$W$29,MATCH($A26,'Por secao'!$V$2:$V$29,0))</f>
        <v>Baixo</v>
      </c>
    </row>
    <row r="27" spans="1:10" x14ac:dyDescent="0.25">
      <c r="A27" s="11">
        <v>26</v>
      </c>
      <c r="B27" s="11">
        <f>INDEX('Por secao'!$A$2:$A$29,MATCH($A27,'Por secao'!$V$2:$V$29,0))</f>
        <v>1352</v>
      </c>
      <c r="C27" s="11">
        <f>IF(INDEX('Por secao'!$L$2:$L$29,MATCH($A27,'Por secao'!$V$2:$V$29,0))="","—",INDEX('Por secao'!$L$2:$L$29,MATCH($A27,'Por secao'!$V$2:$V$29,0)))</f>
        <v>522</v>
      </c>
      <c r="D27" s="36">
        <f>INDEX('Por secao'!$P$2:$P$29,MATCH($A27,'Por secao'!$V$2:$V$29,0))</f>
        <v>462</v>
      </c>
      <c r="E27" s="36">
        <f>INDEX('Por secao'!$N$2:$N$29,MATCH($A27,'Por secao'!$V$2:$V$29,0))</f>
        <v>328</v>
      </c>
      <c r="F27" s="36">
        <f>INDEX('Por secao'!$Q$2:$Q$29,MATCH($A27,'Por secao'!$V$2:$V$29,0))</f>
        <v>203</v>
      </c>
      <c r="G27" s="37">
        <f>INDEX('Por secao'!$S$2:$S$29,MATCH($A27,'Por secao'!$V$2:$V$29,0))</f>
        <v>0.43939393939393939</v>
      </c>
      <c r="H27" s="38">
        <f>INDEX('Por secao'!$T$2:$T$29,MATCH($A27,'Por secao'!$V$2:$V$29,0))</f>
        <v>-125</v>
      </c>
      <c r="I27" s="39">
        <f>INDEX('Por secao'!$U$2:$U$29,MATCH($A27,'Por secao'!$V$2:$V$29,0))</f>
        <v>-0.38109756097560976</v>
      </c>
      <c r="J27" s="11" t="str">
        <f>INDEX('Por secao'!$W$2:$W$29,MATCH($A27,'Por secao'!$V$2:$V$29,0))</f>
        <v>Baixo</v>
      </c>
    </row>
    <row r="28" spans="1:10" x14ac:dyDescent="0.25">
      <c r="A28" s="11">
        <v>27</v>
      </c>
      <c r="B28" s="11">
        <f>INDEX('Por secao'!$A$2:$A$29,MATCH($A28,'Por secao'!$V$2:$V$29,0))</f>
        <v>513</v>
      </c>
      <c r="C28" s="11">
        <f>IF(INDEX('Por secao'!$L$2:$L$29,MATCH($A28,'Por secao'!$V$2:$V$29,0))="","—",INDEX('Por secao'!$L$2:$L$29,MATCH($A28,'Por secao'!$V$2:$V$29,0)))</f>
        <v>1105</v>
      </c>
      <c r="D28" s="36">
        <f>INDEX('Por secao'!$P$2:$P$29,MATCH($A28,'Por secao'!$V$2:$V$29,0))</f>
        <v>501</v>
      </c>
      <c r="E28" s="36">
        <f>INDEX('Por secao'!$N$2:$N$29,MATCH($A28,'Por secao'!$V$2:$V$29,0))</f>
        <v>351</v>
      </c>
      <c r="F28" s="36">
        <f>INDEX('Por secao'!$Q$2:$Q$29,MATCH($A28,'Por secao'!$V$2:$V$29,0))</f>
        <v>190</v>
      </c>
      <c r="G28" s="37">
        <f>INDEX('Por secao'!$S$2:$S$29,MATCH($A28,'Por secao'!$V$2:$V$29,0))</f>
        <v>0.37924151696606784</v>
      </c>
      <c r="H28" s="38">
        <f>INDEX('Por secao'!$T$2:$T$29,MATCH($A28,'Por secao'!$V$2:$V$29,0))</f>
        <v>-161</v>
      </c>
      <c r="I28" s="39">
        <f>INDEX('Por secao'!$U$2:$U$29,MATCH($A28,'Por secao'!$V$2:$V$29,0))</f>
        <v>-0.45868945868945865</v>
      </c>
      <c r="J28" s="11" t="str">
        <f>INDEX('Por secao'!$W$2:$W$29,MATCH($A28,'Por secao'!$V$2:$V$29,0))</f>
        <v>Baixo</v>
      </c>
    </row>
    <row r="29" spans="1:10" x14ac:dyDescent="0.25">
      <c r="A29" s="11">
        <v>28</v>
      </c>
      <c r="B29" s="11">
        <f>INDEX('Por secao'!$A$2:$A$29,MATCH($A29,'Por secao'!$V$2:$V$29,0))</f>
        <v>3442</v>
      </c>
      <c r="C29" s="11" t="str">
        <f>IF(INDEX('Por secao'!$L$2:$L$29,MATCH($A29,'Por secao'!$V$2:$V$29,0))="","—",INDEX('Por secao'!$L$2:$L$29,MATCH($A29,'Por secao'!$V$2:$V$29,0)))</f>
        <v>—</v>
      </c>
      <c r="D29" s="36">
        <f>INDEX('Por secao'!$P$2:$P$29,MATCH($A29,'Por secao'!$V$2:$V$29,0))</f>
        <v>397</v>
      </c>
      <c r="E29" s="36">
        <f>INDEX('Por secao'!$N$2:$N$29,MATCH($A29,'Por secao'!$V$2:$V$29,0))</f>
        <v>295</v>
      </c>
      <c r="F29" s="36">
        <f>INDEX('Por secao'!$Q$2:$Q$29,MATCH($A29,'Por secao'!$V$2:$V$29,0))</f>
        <v>134</v>
      </c>
      <c r="G29" s="37">
        <f>INDEX('Por secao'!$S$2:$S$29,MATCH($A29,'Por secao'!$V$2:$V$29,0))</f>
        <v>0.33753148614609574</v>
      </c>
      <c r="H29" s="38">
        <f>INDEX('Por secao'!$T$2:$T$29,MATCH($A29,'Por secao'!$V$2:$V$29,0))</f>
        <v>-161</v>
      </c>
      <c r="I29" s="39">
        <f>INDEX('Por secao'!$U$2:$U$29,MATCH($A29,'Por secao'!$V$2:$V$29,0))</f>
        <v>-0.54576271186440684</v>
      </c>
      <c r="J29" s="11" t="str">
        <f>INDEX('Por secao'!$W$2:$W$29,MATCH($A29,'Por secao'!$V$2:$V$29,0))</f>
        <v>Baixo</v>
      </c>
    </row>
    <row r="31" spans="1:10" x14ac:dyDescent="0.25">
      <c r="A31" t="s">
        <v>287</v>
      </c>
    </row>
  </sheetData>
  <conditionalFormatting sqref="F2:F29">
    <cfRule type="expression" dxfId="2" priority="1">
      <formula>$J2="Alto"</formula>
    </cfRule>
    <cfRule type="expression" dxfId="1" priority="2">
      <formula>$J2="Médio"</formula>
    </cfRule>
    <cfRule type="expression" dxfId="0" priority="3">
      <formula>$J2="Baixo"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Mesarios</vt:lpstr>
      <vt:lpstr>Presenca por secao</vt:lpstr>
      <vt:lpstr>Por secao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Hamad Mota Kalaf</cp:lastModifiedBy>
  <dcterms:created xsi:type="dcterms:W3CDTF">2026-09-22T17:36:25Z</dcterms:created>
  <dcterms:modified xsi:type="dcterms:W3CDTF">2026-10-12T10:28:13Z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0x010100975F954B7D72B645B4C0A5F040EF7123</vt:lpwstr>
  </property>
  <property fmtid="{D5CDD505-2E9C-101B-9397-08002B2CF9AE}" pid="3" name="MediaServiceImageTags">
    <vt:lpwstr/>
  </property>
</Properties>
</file>