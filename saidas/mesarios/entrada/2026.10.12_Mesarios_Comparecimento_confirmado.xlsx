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kalaf\Downloads\"/>
    </mc:Choice>
  </mc:AlternateContent>
  <xr:revisionPtr revIDLastSave="0" documentId="8_{AC03248E-B531-4571-8609-FFA57E2AB3B7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Resumo" sheetId="1" r:id="rId1"/>
    <sheet name="Mesarios" sheetId="2" r:id="rId2"/>
    <sheet name="Presenca por secao" sheetId="3" r:id="rId3"/>
    <sheet name="Por secao" sheetId="4" r:id="rId4"/>
    <sheet name="Boletins" sheetId="5" r:id="rId5"/>
    <sheet name="Divergências" sheetId="6" r:id="rId6"/>
    <sheet name="Fora da lista" sheetId="7" r:id="rId7"/>
  </sheets>
  <definedNames>
    <definedName name="_xlnm._FilterDatabase" localSheetId="5" hidden="1">Divergências!$A$1:$G$27</definedName>
    <definedName name="_xlnm._FilterDatabase" localSheetId="1" hidden="1">Mesarios!$A$1:$O$112</definedName>
    <definedName name="_xlnm._FilterDatabase" localSheetId="2" hidden="1">'Presenca por secao'!$A$1:$O$29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0" i="5" l="1"/>
  <c r="G30" i="5"/>
  <c r="F30" i="5"/>
  <c r="E30" i="5"/>
  <c r="D30" i="5"/>
  <c r="C30" i="5"/>
  <c r="B30" i="5"/>
  <c r="N34" i="4"/>
  <c r="N30" i="4"/>
  <c r="M30" i="4"/>
  <c r="O29" i="4"/>
  <c r="I29" i="4"/>
  <c r="H29" i="4"/>
  <c r="G29" i="4"/>
  <c r="F29" i="4"/>
  <c r="E29" i="4"/>
  <c r="D29" i="4"/>
  <c r="C29" i="4"/>
  <c r="B29" i="4"/>
  <c r="K29" i="4" s="1"/>
  <c r="O28" i="4"/>
  <c r="I28" i="4"/>
  <c r="H28" i="4"/>
  <c r="G28" i="4"/>
  <c r="F28" i="4"/>
  <c r="E28" i="4"/>
  <c r="D28" i="4"/>
  <c r="C28" i="4"/>
  <c r="B28" i="4"/>
  <c r="O27" i="4"/>
  <c r="I27" i="4"/>
  <c r="H27" i="4"/>
  <c r="G27" i="4"/>
  <c r="F27" i="4"/>
  <c r="E27" i="4"/>
  <c r="D27" i="4"/>
  <c r="C27" i="4"/>
  <c r="B27" i="4"/>
  <c r="O26" i="4"/>
  <c r="I26" i="4"/>
  <c r="H26" i="4"/>
  <c r="G26" i="4"/>
  <c r="F26" i="4"/>
  <c r="E26" i="4"/>
  <c r="D26" i="4"/>
  <c r="C26" i="4"/>
  <c r="B26" i="4"/>
  <c r="O25" i="4"/>
  <c r="I25" i="4"/>
  <c r="H25" i="4"/>
  <c r="G25" i="4"/>
  <c r="F25" i="4"/>
  <c r="E25" i="4"/>
  <c r="D25" i="4"/>
  <c r="C25" i="4"/>
  <c r="B25" i="4"/>
  <c r="K25" i="4" s="1"/>
  <c r="O24" i="4"/>
  <c r="I24" i="4"/>
  <c r="H24" i="4"/>
  <c r="G24" i="4"/>
  <c r="F24" i="4"/>
  <c r="E24" i="4"/>
  <c r="D24" i="4"/>
  <c r="C24" i="4"/>
  <c r="B24" i="4"/>
  <c r="O23" i="4"/>
  <c r="I23" i="4"/>
  <c r="H23" i="4"/>
  <c r="G23" i="4"/>
  <c r="F23" i="4"/>
  <c r="E23" i="4"/>
  <c r="D23" i="4"/>
  <c r="C23" i="4"/>
  <c r="B23" i="4"/>
  <c r="O22" i="4"/>
  <c r="I22" i="4"/>
  <c r="H22" i="4"/>
  <c r="G22" i="4"/>
  <c r="F22" i="4"/>
  <c r="E22" i="4"/>
  <c r="D22" i="4"/>
  <c r="C22" i="4"/>
  <c r="B22" i="4"/>
  <c r="O21" i="4"/>
  <c r="I21" i="4"/>
  <c r="H21" i="4"/>
  <c r="G21" i="4"/>
  <c r="F21" i="4"/>
  <c r="E21" i="4"/>
  <c r="D21" i="4"/>
  <c r="C21" i="4"/>
  <c r="B21" i="4"/>
  <c r="O20" i="4"/>
  <c r="I20" i="4"/>
  <c r="H20" i="4"/>
  <c r="G20" i="4"/>
  <c r="F20" i="4"/>
  <c r="E20" i="4"/>
  <c r="D20" i="4"/>
  <c r="C20" i="4"/>
  <c r="B20" i="4"/>
  <c r="O19" i="4"/>
  <c r="I19" i="4"/>
  <c r="H19" i="4"/>
  <c r="G19" i="4"/>
  <c r="F19" i="4"/>
  <c r="E19" i="4"/>
  <c r="D19" i="4"/>
  <c r="C19" i="4"/>
  <c r="B19" i="4"/>
  <c r="O18" i="4"/>
  <c r="I18" i="4"/>
  <c r="H18" i="4"/>
  <c r="G18" i="4"/>
  <c r="F18" i="4"/>
  <c r="E18" i="4"/>
  <c r="D18" i="4"/>
  <c r="C18" i="4"/>
  <c r="B18" i="4"/>
  <c r="O17" i="4"/>
  <c r="I17" i="4"/>
  <c r="H17" i="4"/>
  <c r="G17" i="4"/>
  <c r="F17" i="4"/>
  <c r="E17" i="4"/>
  <c r="D17" i="4"/>
  <c r="C17" i="4"/>
  <c r="B17" i="4"/>
  <c r="O16" i="4"/>
  <c r="I16" i="4"/>
  <c r="H16" i="4"/>
  <c r="G16" i="4"/>
  <c r="F16" i="4"/>
  <c r="E16" i="4"/>
  <c r="D16" i="4"/>
  <c r="C16" i="4"/>
  <c r="B16" i="4"/>
  <c r="O15" i="4"/>
  <c r="I15" i="4"/>
  <c r="H15" i="4"/>
  <c r="G15" i="4"/>
  <c r="F15" i="4"/>
  <c r="E15" i="4"/>
  <c r="D15" i="4"/>
  <c r="C15" i="4"/>
  <c r="B15" i="4"/>
  <c r="O14" i="4"/>
  <c r="I14" i="4"/>
  <c r="H14" i="4"/>
  <c r="G14" i="4"/>
  <c r="F14" i="4"/>
  <c r="E14" i="4"/>
  <c r="D14" i="4"/>
  <c r="C14" i="4"/>
  <c r="B14" i="4"/>
  <c r="O13" i="4"/>
  <c r="I13" i="4"/>
  <c r="H13" i="4"/>
  <c r="G13" i="4"/>
  <c r="F13" i="4"/>
  <c r="E13" i="4"/>
  <c r="D13" i="4"/>
  <c r="C13" i="4"/>
  <c r="B13" i="4"/>
  <c r="K13" i="4" s="1"/>
  <c r="O12" i="4"/>
  <c r="I12" i="4"/>
  <c r="H12" i="4"/>
  <c r="G12" i="4"/>
  <c r="F12" i="4"/>
  <c r="E12" i="4"/>
  <c r="D12" i="4"/>
  <c r="C12" i="4"/>
  <c r="B12" i="4"/>
  <c r="O11" i="4"/>
  <c r="I11" i="4"/>
  <c r="H11" i="4"/>
  <c r="G11" i="4"/>
  <c r="F11" i="4"/>
  <c r="E11" i="4"/>
  <c r="D11" i="4"/>
  <c r="C11" i="4"/>
  <c r="B11" i="4"/>
  <c r="O10" i="4"/>
  <c r="I10" i="4"/>
  <c r="H10" i="4"/>
  <c r="G10" i="4"/>
  <c r="F10" i="4"/>
  <c r="E10" i="4"/>
  <c r="D10" i="4"/>
  <c r="C10" i="4"/>
  <c r="B10" i="4"/>
  <c r="O9" i="4"/>
  <c r="I9" i="4"/>
  <c r="H9" i="4"/>
  <c r="G9" i="4"/>
  <c r="F9" i="4"/>
  <c r="E9" i="4"/>
  <c r="D9" i="4"/>
  <c r="C9" i="4"/>
  <c r="B9" i="4"/>
  <c r="O8" i="4"/>
  <c r="I8" i="4"/>
  <c r="H8" i="4"/>
  <c r="G8" i="4"/>
  <c r="F8" i="4"/>
  <c r="E8" i="4"/>
  <c r="D8" i="4"/>
  <c r="C8" i="4"/>
  <c r="B8" i="4"/>
  <c r="O7" i="4"/>
  <c r="I7" i="4"/>
  <c r="H7" i="4"/>
  <c r="G7" i="4"/>
  <c r="F7" i="4"/>
  <c r="E7" i="4"/>
  <c r="D7" i="4"/>
  <c r="C7" i="4"/>
  <c r="B7" i="4"/>
  <c r="O6" i="4"/>
  <c r="I6" i="4"/>
  <c r="H6" i="4"/>
  <c r="G6" i="4"/>
  <c r="F6" i="4"/>
  <c r="E6" i="4"/>
  <c r="D6" i="4"/>
  <c r="C6" i="4"/>
  <c r="B6" i="4"/>
  <c r="O5" i="4"/>
  <c r="I5" i="4"/>
  <c r="H5" i="4"/>
  <c r="G5" i="4"/>
  <c r="F5" i="4"/>
  <c r="E5" i="4"/>
  <c r="D5" i="4"/>
  <c r="C5" i="4"/>
  <c r="J5" i="4" s="1"/>
  <c r="B5" i="4"/>
  <c r="K5" i="4" s="1"/>
  <c r="O4" i="4"/>
  <c r="I4" i="4"/>
  <c r="H4" i="4"/>
  <c r="G4" i="4"/>
  <c r="F4" i="4"/>
  <c r="E4" i="4"/>
  <c r="D4" i="4"/>
  <c r="C4" i="4"/>
  <c r="B4" i="4"/>
  <c r="O3" i="4"/>
  <c r="I3" i="4"/>
  <c r="H3" i="4"/>
  <c r="G3" i="4"/>
  <c r="F3" i="4"/>
  <c r="E3" i="4"/>
  <c r="D3" i="4"/>
  <c r="C3" i="4"/>
  <c r="B3" i="4"/>
  <c r="O2" i="4"/>
  <c r="O30" i="4" s="1"/>
  <c r="I2" i="4"/>
  <c r="H2" i="4"/>
  <c r="G2" i="4"/>
  <c r="F2" i="4"/>
  <c r="E2" i="4"/>
  <c r="D2" i="4"/>
  <c r="C2" i="4"/>
  <c r="B2" i="4"/>
  <c r="O29" i="3"/>
  <c r="N29" i="3"/>
  <c r="A29" i="3"/>
  <c r="O28" i="3"/>
  <c r="N28" i="3"/>
  <c r="A28" i="3"/>
  <c r="O27" i="3"/>
  <c r="N27" i="3"/>
  <c r="A27" i="3"/>
  <c r="O26" i="3"/>
  <c r="N26" i="3"/>
  <c r="A26" i="3"/>
  <c r="O25" i="3"/>
  <c r="N25" i="3"/>
  <c r="A25" i="3"/>
  <c r="O24" i="3"/>
  <c r="N24" i="3"/>
  <c r="A24" i="3"/>
  <c r="O23" i="3"/>
  <c r="N23" i="3"/>
  <c r="A23" i="3"/>
  <c r="O22" i="3"/>
  <c r="N22" i="3"/>
  <c r="A22" i="3"/>
  <c r="O21" i="3"/>
  <c r="N21" i="3"/>
  <c r="A21" i="3"/>
  <c r="O20" i="3"/>
  <c r="N20" i="3"/>
  <c r="A20" i="3"/>
  <c r="O19" i="3"/>
  <c r="N19" i="3"/>
  <c r="A19" i="3"/>
  <c r="O18" i="3"/>
  <c r="N18" i="3"/>
  <c r="A18" i="3"/>
  <c r="O17" i="3"/>
  <c r="N17" i="3"/>
  <c r="A17" i="3"/>
  <c r="O16" i="3"/>
  <c r="N16" i="3"/>
  <c r="A16" i="3"/>
  <c r="O15" i="3"/>
  <c r="N15" i="3"/>
  <c r="A15" i="3"/>
  <c r="O14" i="3"/>
  <c r="N14" i="3"/>
  <c r="A14" i="3"/>
  <c r="O13" i="3"/>
  <c r="N13" i="3"/>
  <c r="A13" i="3"/>
  <c r="O12" i="3"/>
  <c r="N12" i="3"/>
  <c r="A12" i="3"/>
  <c r="O11" i="3"/>
  <c r="N11" i="3"/>
  <c r="A11" i="3"/>
  <c r="O10" i="3"/>
  <c r="N10" i="3"/>
  <c r="A10" i="3"/>
  <c r="O9" i="3"/>
  <c r="N9" i="3"/>
  <c r="A9" i="3"/>
  <c r="O8" i="3"/>
  <c r="N8" i="3"/>
  <c r="A8" i="3"/>
  <c r="O7" i="3"/>
  <c r="N7" i="3"/>
  <c r="A7" i="3"/>
  <c r="O6" i="3"/>
  <c r="N6" i="3"/>
  <c r="A6" i="3"/>
  <c r="O5" i="3"/>
  <c r="N5" i="3"/>
  <c r="A5" i="3"/>
  <c r="O4" i="3"/>
  <c r="N4" i="3"/>
  <c r="A4" i="3"/>
  <c r="O3" i="3"/>
  <c r="N3" i="3"/>
  <c r="A3" i="3"/>
  <c r="O2" i="3"/>
  <c r="N2" i="3"/>
  <c r="E2" i="3"/>
  <c r="A2" i="3"/>
  <c r="B17" i="1"/>
  <c r="B10" i="1"/>
  <c r="B8" i="1"/>
  <c r="B7" i="1"/>
  <c r="B6" i="1"/>
  <c r="B5" i="1"/>
  <c r="B4" i="1"/>
  <c r="B3" i="1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D2" i="3" s="1"/>
  <c r="F2" i="2"/>
  <c r="F2" i="3" s="1"/>
  <c r="K8" i="4" l="1"/>
  <c r="J10" i="4"/>
  <c r="K7" i="4"/>
  <c r="J25" i="4"/>
  <c r="J29" i="4"/>
  <c r="J27" i="4"/>
  <c r="J7" i="4"/>
  <c r="J19" i="4"/>
  <c r="J23" i="4"/>
  <c r="E30" i="4"/>
  <c r="K10" i="4"/>
  <c r="I6" i="3"/>
  <c r="I10" i="3"/>
  <c r="I14" i="3"/>
  <c r="I18" i="3"/>
  <c r="K14" i="4"/>
  <c r="K22" i="4"/>
  <c r="B13" i="1"/>
  <c r="J18" i="4"/>
  <c r="J22" i="4"/>
  <c r="F30" i="4"/>
  <c r="E19" i="3"/>
  <c r="D26" i="3"/>
  <c r="B20" i="3"/>
  <c r="K16" i="4"/>
  <c r="K26" i="4"/>
  <c r="E3" i="3"/>
  <c r="E23" i="3"/>
  <c r="B12" i="3"/>
  <c r="B28" i="3"/>
  <c r="E15" i="3"/>
  <c r="B4" i="3"/>
  <c r="B16" i="3"/>
  <c r="I2" i="3"/>
  <c r="J24" i="4"/>
  <c r="E11" i="3"/>
  <c r="B8" i="3"/>
  <c r="B24" i="3"/>
  <c r="H26" i="3"/>
  <c r="C2" i="3"/>
  <c r="D25" i="3"/>
  <c r="D29" i="3"/>
  <c r="J8" i="4"/>
  <c r="J12" i="4"/>
  <c r="E7" i="3"/>
  <c r="E27" i="3"/>
  <c r="J11" i="4"/>
  <c r="J15" i="4"/>
  <c r="K24" i="4"/>
  <c r="K28" i="4"/>
  <c r="K15" i="4"/>
  <c r="K23" i="4"/>
  <c r="B12" i="1"/>
  <c r="K2" i="4"/>
  <c r="K6" i="4"/>
  <c r="J16" i="4"/>
  <c r="J21" i="4"/>
  <c r="C30" i="4"/>
  <c r="B15" i="1" s="1"/>
  <c r="J6" i="4"/>
  <c r="J26" i="4"/>
  <c r="D30" i="4"/>
  <c r="J20" i="4"/>
  <c r="K20" i="4"/>
  <c r="B9" i="1"/>
  <c r="B11" i="1"/>
  <c r="G30" i="4"/>
  <c r="J14" i="4"/>
  <c r="H30" i="4"/>
  <c r="K4" i="4"/>
  <c r="I30" i="4"/>
  <c r="J4" i="4"/>
  <c r="J9" i="4"/>
  <c r="J13" i="4"/>
  <c r="K19" i="4"/>
  <c r="K9" i="4"/>
  <c r="K12" i="4"/>
  <c r="K17" i="4"/>
  <c r="K21" i="4"/>
  <c r="J28" i="4"/>
  <c r="K3" i="4"/>
  <c r="J17" i="4"/>
  <c r="J3" i="4"/>
  <c r="K11" i="4"/>
  <c r="K18" i="4"/>
  <c r="K27" i="4"/>
  <c r="I3" i="3"/>
  <c r="G9" i="3"/>
  <c r="D14" i="3"/>
  <c r="D18" i="3"/>
  <c r="F11" i="3"/>
  <c r="C16" i="3"/>
  <c r="I26" i="3"/>
  <c r="F27" i="3"/>
  <c r="C28" i="3"/>
  <c r="D22" i="3"/>
  <c r="F3" i="3"/>
  <c r="C4" i="3"/>
  <c r="F7" i="3"/>
  <c r="C8" i="3"/>
  <c r="C12" i="3"/>
  <c r="F15" i="3"/>
  <c r="F19" i="3"/>
  <c r="C20" i="3"/>
  <c r="I22" i="3"/>
  <c r="F23" i="3"/>
  <c r="C24" i="3"/>
  <c r="B14" i="1"/>
  <c r="G3" i="3"/>
  <c r="D4" i="3"/>
  <c r="G7" i="3"/>
  <c r="D8" i="3"/>
  <c r="G11" i="3"/>
  <c r="D12" i="3"/>
  <c r="G15" i="3"/>
  <c r="D16" i="3"/>
  <c r="G19" i="3"/>
  <c r="D20" i="3"/>
  <c r="G23" i="3"/>
  <c r="D24" i="3"/>
  <c r="G27" i="3"/>
  <c r="D28" i="3"/>
  <c r="G21" i="3"/>
  <c r="H3" i="3"/>
  <c r="E4" i="3"/>
  <c r="B5" i="3"/>
  <c r="H7" i="3"/>
  <c r="E8" i="3"/>
  <c r="B9" i="3"/>
  <c r="H11" i="3"/>
  <c r="E12" i="3"/>
  <c r="B13" i="3"/>
  <c r="H15" i="3"/>
  <c r="E16" i="3"/>
  <c r="B17" i="3"/>
  <c r="H19" i="3"/>
  <c r="E20" i="3"/>
  <c r="B21" i="3"/>
  <c r="H23" i="3"/>
  <c r="E24" i="3"/>
  <c r="B25" i="3"/>
  <c r="H27" i="3"/>
  <c r="E28" i="3"/>
  <c r="B29" i="3"/>
  <c r="F4" i="3"/>
  <c r="F8" i="3"/>
  <c r="I11" i="3"/>
  <c r="C13" i="3"/>
  <c r="F16" i="3"/>
  <c r="F20" i="3"/>
  <c r="F24" i="3"/>
  <c r="C25" i="3"/>
  <c r="I27" i="3"/>
  <c r="C29" i="3"/>
  <c r="C5" i="3"/>
  <c r="I7" i="3"/>
  <c r="C9" i="3"/>
  <c r="F12" i="3"/>
  <c r="I15" i="3"/>
  <c r="C17" i="3"/>
  <c r="I19" i="3"/>
  <c r="C21" i="3"/>
  <c r="I23" i="3"/>
  <c r="F28" i="3"/>
  <c r="G4" i="3"/>
  <c r="D5" i="3"/>
  <c r="G8" i="3"/>
  <c r="D9" i="3"/>
  <c r="G12" i="3"/>
  <c r="D13" i="3"/>
  <c r="G16" i="3"/>
  <c r="D17" i="3"/>
  <c r="G20" i="3"/>
  <c r="D21" i="3"/>
  <c r="G24" i="3"/>
  <c r="G28" i="3"/>
  <c r="J2" i="4"/>
  <c r="B30" i="4"/>
  <c r="B2" i="3"/>
  <c r="H4" i="3"/>
  <c r="E5" i="3"/>
  <c r="B6" i="3"/>
  <c r="H8" i="3"/>
  <c r="E9" i="3"/>
  <c r="B10" i="3"/>
  <c r="H12" i="3"/>
  <c r="E13" i="3"/>
  <c r="B14" i="3"/>
  <c r="H16" i="3"/>
  <c r="E17" i="3"/>
  <c r="B18" i="3"/>
  <c r="H20" i="3"/>
  <c r="E21" i="3"/>
  <c r="B22" i="3"/>
  <c r="H24" i="3"/>
  <c r="E25" i="3"/>
  <c r="B26" i="3"/>
  <c r="H28" i="3"/>
  <c r="E29" i="3"/>
  <c r="I4" i="3"/>
  <c r="F5" i="3"/>
  <c r="C6" i="3"/>
  <c r="I8" i="3"/>
  <c r="F9" i="3"/>
  <c r="C10" i="3"/>
  <c r="I12" i="3"/>
  <c r="F13" i="3"/>
  <c r="C14" i="3"/>
  <c r="I16" i="3"/>
  <c r="F17" i="3"/>
  <c r="C18" i="3"/>
  <c r="I20" i="3"/>
  <c r="F21" i="3"/>
  <c r="C22" i="3"/>
  <c r="I24" i="3"/>
  <c r="F25" i="3"/>
  <c r="C26" i="3"/>
  <c r="I28" i="3"/>
  <c r="F29" i="3"/>
  <c r="D6" i="3"/>
  <c r="D10" i="3"/>
  <c r="G29" i="3"/>
  <c r="B3" i="3"/>
  <c r="H5" i="3"/>
  <c r="E6" i="3"/>
  <c r="B7" i="3"/>
  <c r="H9" i="3"/>
  <c r="E10" i="3"/>
  <c r="B11" i="3"/>
  <c r="H13" i="3"/>
  <c r="E14" i="3"/>
  <c r="B15" i="3"/>
  <c r="H17" i="3"/>
  <c r="E18" i="3"/>
  <c r="B19" i="3"/>
  <c r="H21" i="3"/>
  <c r="E22" i="3"/>
  <c r="B23" i="3"/>
  <c r="H25" i="3"/>
  <c r="E26" i="3"/>
  <c r="B27" i="3"/>
  <c r="H29" i="3"/>
  <c r="C3" i="3"/>
  <c r="I5" i="3"/>
  <c r="F6" i="3"/>
  <c r="C7" i="3"/>
  <c r="I9" i="3"/>
  <c r="F10" i="3"/>
  <c r="C11" i="3"/>
  <c r="I13" i="3"/>
  <c r="F14" i="3"/>
  <c r="C15" i="3"/>
  <c r="I17" i="3"/>
  <c r="F18" i="3"/>
  <c r="C19" i="3"/>
  <c r="I21" i="3"/>
  <c r="F22" i="3"/>
  <c r="C23" i="3"/>
  <c r="I25" i="3"/>
  <c r="F26" i="3"/>
  <c r="C27" i="3"/>
  <c r="I29" i="3"/>
  <c r="G13" i="3"/>
  <c r="G25" i="3"/>
  <c r="G2" i="3"/>
  <c r="D3" i="3"/>
  <c r="G6" i="3"/>
  <c r="D7" i="3"/>
  <c r="G10" i="3"/>
  <c r="D11" i="3"/>
  <c r="G14" i="3"/>
  <c r="D15" i="3"/>
  <c r="G18" i="3"/>
  <c r="D19" i="3"/>
  <c r="G22" i="3"/>
  <c r="D23" i="3"/>
  <c r="G26" i="3"/>
  <c r="D27" i="3"/>
  <c r="G5" i="3"/>
  <c r="G17" i="3"/>
  <c r="H2" i="3"/>
  <c r="H6" i="3"/>
  <c r="H10" i="3"/>
  <c r="H14" i="3"/>
  <c r="H18" i="3"/>
  <c r="H22" i="3"/>
  <c r="L2" i="3" l="1"/>
  <c r="J30" i="4"/>
  <c r="K5" i="3"/>
  <c r="J5" i="3"/>
  <c r="M5" i="3" s="1"/>
  <c r="L5" i="3"/>
  <c r="J2" i="3"/>
  <c r="L22" i="3"/>
  <c r="K22" i="3"/>
  <c r="J22" i="3"/>
  <c r="M22" i="3" s="1"/>
  <c r="L6" i="3"/>
  <c r="K6" i="3"/>
  <c r="J6" i="3"/>
  <c r="M6" i="3" s="1"/>
  <c r="K29" i="3"/>
  <c r="J29" i="3"/>
  <c r="M29" i="3" s="1"/>
  <c r="L29" i="3"/>
  <c r="L24" i="3"/>
  <c r="K24" i="3"/>
  <c r="J24" i="3"/>
  <c r="M24" i="3" s="1"/>
  <c r="L28" i="3"/>
  <c r="K28" i="3"/>
  <c r="J28" i="3"/>
  <c r="M28" i="3" s="1"/>
  <c r="L27" i="3"/>
  <c r="K27" i="3"/>
  <c r="J27" i="3"/>
  <c r="M27" i="3" s="1"/>
  <c r="K25" i="3"/>
  <c r="J25" i="3"/>
  <c r="M25" i="3" s="1"/>
  <c r="L25" i="3"/>
  <c r="L11" i="3"/>
  <c r="K11" i="3"/>
  <c r="J11" i="3"/>
  <c r="M11" i="3" s="1"/>
  <c r="L18" i="3"/>
  <c r="K18" i="3"/>
  <c r="J18" i="3"/>
  <c r="M18" i="3" s="1"/>
  <c r="L7" i="3"/>
  <c r="K7" i="3"/>
  <c r="J7" i="3"/>
  <c r="M7" i="3" s="1"/>
  <c r="K21" i="3"/>
  <c r="J21" i="3"/>
  <c r="M21" i="3" s="1"/>
  <c r="L21" i="3"/>
  <c r="L20" i="3"/>
  <c r="K20" i="3"/>
  <c r="J20" i="3"/>
  <c r="M20" i="3" s="1"/>
  <c r="L16" i="3"/>
  <c r="K16" i="3"/>
  <c r="J16" i="3"/>
  <c r="M16" i="3" s="1"/>
  <c r="L14" i="3"/>
  <c r="K14" i="3"/>
  <c r="J14" i="3"/>
  <c r="M14" i="3" s="1"/>
  <c r="K17" i="3"/>
  <c r="J17" i="3"/>
  <c r="M17" i="3" s="1"/>
  <c r="L17" i="3"/>
  <c r="K13" i="3"/>
  <c r="J13" i="3"/>
  <c r="M13" i="3" s="1"/>
  <c r="L13" i="3"/>
  <c r="L23" i="3"/>
  <c r="K23" i="3"/>
  <c r="J23" i="3"/>
  <c r="M23" i="3" s="1"/>
  <c r="L19" i="3"/>
  <c r="K19" i="3"/>
  <c r="J19" i="3"/>
  <c r="M19" i="3" s="1"/>
  <c r="K3" i="3"/>
  <c r="J3" i="3"/>
  <c r="M3" i="3" s="1"/>
  <c r="L3" i="3"/>
  <c r="K2" i="3"/>
  <c r="J12" i="3"/>
  <c r="M12" i="3" s="1"/>
  <c r="L12" i="3"/>
  <c r="K12" i="3"/>
  <c r="J8" i="3"/>
  <c r="M8" i="3" s="1"/>
  <c r="L8" i="3"/>
  <c r="K8" i="3"/>
  <c r="L26" i="3"/>
  <c r="K26" i="3"/>
  <c r="J26" i="3"/>
  <c r="M26" i="3" s="1"/>
  <c r="L10" i="3"/>
  <c r="K10" i="3"/>
  <c r="J10" i="3"/>
  <c r="M10" i="3" s="1"/>
  <c r="K9" i="3"/>
  <c r="J9" i="3"/>
  <c r="M9" i="3" s="1"/>
  <c r="L9" i="3"/>
  <c r="L15" i="3"/>
  <c r="K15" i="3"/>
  <c r="J15" i="3"/>
  <c r="M15" i="3" s="1"/>
  <c r="L4" i="3"/>
  <c r="K4" i="3"/>
  <c r="J4" i="3"/>
  <c r="M4" i="3" s="1"/>
  <c r="L30" i="3" l="1"/>
  <c r="J30" i="3"/>
  <c r="M2" i="3"/>
  <c r="M30" i="3" s="1"/>
  <c r="K30" i="3"/>
</calcChain>
</file>

<file path=xl/sharedStrings.xml><?xml version="1.0" encoding="utf-8"?>
<sst xmlns="http://schemas.openxmlformats.org/spreadsheetml/2006/main" count="1609" uniqueCount="461">
  <si>
    <t>Mesários — 1º turno 04/10/2026 · RDS Hall 2 · presença consolidada (planilha × lista Elo de 30/09 × boletins de identificação de 04/10)</t>
  </si>
  <si>
    <t>Total de mesários</t>
  </si>
  <si>
    <t>Presentes (SIM)</t>
  </si>
  <si>
    <t>Ausentes (NAO)</t>
  </si>
  <si>
    <t>Planilha SIM, mas ausente nos boletins</t>
  </si>
  <si>
    <t>Planilha NAO, mas presente nos boletins</t>
  </si>
  <si>
    <t>Planilha sem dado ("0006/2026" ou "-"), preenchido pelo boletim</t>
  </si>
  <si>
    <t>Conferência: presentes + ausentes = total</t>
  </si>
  <si>
    <t>Seções (mesas)</t>
  </si>
  <si>
    <t>Mesas com os 4 presentes</t>
  </si>
  <si>
    <t>Mesas com só 3 presentes</t>
  </si>
  <si>
    <t>Mesas com 2 ou menos presentes</t>
  </si>
  <si>
    <t>Mesas com só 3 designados</t>
  </si>
  <si>
    <t>Mesas sem Presidente designado</t>
  </si>
  <si>
    <t>Nota</t>
  </si>
  <si>
    <t>A coluna "Presença" original (E) foi mantida intacta. Em 16 linhas ela trazia "0006/2026" ou "-", que são valores da coluna Edital do relatório Elo, não presença; os boletins de identificação preenchem esses casos. A coluna M "Presença consolidada" (SIM = título registrado na abertura ou no fechamento de algum boletim) passou a alimentar todas as contagens deste arquivo. Onde a planilha e o boletim divergem, ver coluna N e a aba "Divergências". Totais do PDF Elo de 30/09: Total 111 · Confirmados 98 · Sem resposta 12 · Pedido de dispensa 1.</t>
  </si>
  <si>
    <t>Mesários fora da lista que assinaram boletim</t>
  </si>
  <si>
    <t>Observação</t>
  </si>
  <si>
    <t>A contagem por seção (aba "Por secao") é por pessoa designada. Quem atuou em outra urna (ex.: Ludmila, Liliane, Cíntia, Ana Paula, Brenda) está descrito na aba "Boletins".</t>
  </si>
  <si>
    <t>Seção</t>
  </si>
  <si>
    <t>Função</t>
  </si>
  <si>
    <t>E-mail</t>
  </si>
  <si>
    <t>Nome</t>
  </si>
  <si>
    <t>Presença (planilha original)</t>
  </si>
  <si>
    <t>Chave (auxiliar)</t>
  </si>
  <si>
    <t>Título de eleitor</t>
  </si>
  <si>
    <t>Sit. mesário (Elo 30/09)</t>
  </si>
  <si>
    <t>Resposta (Elo 30/09)</t>
  </si>
  <si>
    <t>Edital</t>
  </si>
  <si>
    <t>Abertura (boletim)</t>
  </si>
  <si>
    <t>Fechamento (boletim)</t>
  </si>
  <si>
    <t>Presença consolidada</t>
  </si>
  <si>
    <t>Conferência × coluna Presença original</t>
  </si>
  <si>
    <t>Presidente</t>
  </si>
  <si>
    <t>Felipegustavo.ie@outlook.com</t>
  </si>
  <si>
    <t>FELIPE PEREIRA DE SOUZA GUSTAVO</t>
  </si>
  <si>
    <t>SIM</t>
  </si>
  <si>
    <t>221940340213</t>
  </si>
  <si>
    <t>Nomeado</t>
  </si>
  <si>
    <t>Confirmado</t>
  </si>
  <si>
    <t>0006/2026</t>
  </si>
  <si>
    <t>Sim</t>
  </si>
  <si>
    <t>Assinou</t>
  </si>
  <si>
    <t>OK</t>
  </si>
  <si>
    <t>1º Mesário</t>
  </si>
  <si>
    <t>Ericcount19@hotmail.com</t>
  </si>
  <si>
    <t>ERIC DA SILVA MEDEIROS</t>
  </si>
  <si>
    <t>087303060701</t>
  </si>
  <si>
    <t>2º Mesário</t>
  </si>
  <si>
    <t>ludmilamaiamaciel@gmail.com</t>
  </si>
  <si>
    <t>LUDMILA MAIA MACIEL</t>
  </si>
  <si>
    <t>175842820256</t>
  </si>
  <si>
    <t>Sim, também na urna 3442</t>
  </si>
  <si>
    <t>Assinou (urna 3442)</t>
  </si>
  <si>
    <t>Aparece também em boletim de outra urna</t>
  </si>
  <si>
    <t>1º Secretário</t>
  </si>
  <si>
    <t>beabertocco@gmail.com</t>
  </si>
  <si>
    <t>BEATRIZ CARACANHA BERTOCCO</t>
  </si>
  <si>
    <t>087118000698</t>
  </si>
  <si>
    <t>anaclaudiamazurok@gmail.com</t>
  </si>
  <si>
    <t>ANA CLAUDIA MAZUROK</t>
  </si>
  <si>
    <t>NAO</t>
  </si>
  <si>
    <t>017860252038</t>
  </si>
  <si>
    <t>Convocado</t>
  </si>
  <si>
    <t>Sem resposta</t>
  </si>
  <si>
    <t>-</t>
  </si>
  <si>
    <t>Não</t>
  </si>
  <si>
    <t>Não consta</t>
  </si>
  <si>
    <t>caiorossiter@gmail.com</t>
  </si>
  <si>
    <t>CAIO CESAR ROSSITER</t>
  </si>
  <si>
    <t>024563471619</t>
  </si>
  <si>
    <t>camilamouramartins1987@gmail.com</t>
  </si>
  <si>
    <t>CAMILA MOURA MARTINS</t>
  </si>
  <si>
    <t>339405340116</t>
  </si>
  <si>
    <t>tbbfelix@gmail.com</t>
  </si>
  <si>
    <t>THAISA BERNARDES BUENO FELIX</t>
  </si>
  <si>
    <t>437733520116</t>
  </si>
  <si>
    <t>Elo: Confirmado em 30/09, mas não consta em nenhum boletim</t>
  </si>
  <si>
    <t>bianca.goulart@itamaraty.gov.br</t>
  </si>
  <si>
    <t>BIANCA ARAGONE RODRIGUES GOULART</t>
  </si>
  <si>
    <t>354520980191</t>
  </si>
  <si>
    <t>Luizsmania1@gmail.com</t>
  </si>
  <si>
    <t>LUIZ HENRIQUE DE SOUSA SMANIA</t>
  </si>
  <si>
    <t>459992490108</t>
  </si>
  <si>
    <t>isabelabattisti@gmail.com</t>
  </si>
  <si>
    <t>ISABELA FERNANDES BATTISTI PETRIS</t>
  </si>
  <si>
    <t>467362570124</t>
  </si>
  <si>
    <t>Elo: Sem resposta em 30/09, mas compareceu</t>
  </si>
  <si>
    <t>aline.barros@outlook.com</t>
  </si>
  <si>
    <t>ALINE BARROS DE LIRA</t>
  </si>
  <si>
    <t>270991160167</t>
  </si>
  <si>
    <t>DAIANELEALG@GMAIL.COM</t>
  </si>
  <si>
    <t>DAIANE LEAL GOMES</t>
  </si>
  <si>
    <t>175857340221</t>
  </si>
  <si>
    <t>cinthia_ralmeida2@hotmail.com</t>
  </si>
  <si>
    <t>CINTHIA RODRIGUES DE ALMEIDA</t>
  </si>
  <si>
    <t>354752050175</t>
  </si>
  <si>
    <t xml:space="preserve">rafaelrodrigues2011@gmail.com </t>
  </si>
  <si>
    <t>RAFAEL DRUMMOND RODRIGUES</t>
  </si>
  <si>
    <t>196716430281</t>
  </si>
  <si>
    <t>tucanamariana@gmail.com</t>
  </si>
  <si>
    <t>MARIANA MACIEL DOS SANTOS SOUZA</t>
  </si>
  <si>
    <t>154661270299</t>
  </si>
  <si>
    <t>pamela.silva@itamaraty.gov.br</t>
  </si>
  <si>
    <t>PAMELA NASCIMENTO DA SILVA</t>
  </si>
  <si>
    <t>150286960310</t>
  </si>
  <si>
    <t>Planilha sem dado ("0006/2026"); preenchido pelo boletim</t>
  </si>
  <si>
    <t>arthurgf96@gmail.com</t>
  </si>
  <si>
    <t>ARTHUR GRIZ FERREIRA</t>
  </si>
  <si>
    <t>092144330809</t>
  </si>
  <si>
    <t>crislainedealmeida@hotmail.com</t>
  </si>
  <si>
    <t>CRISLAINE DE SOUZA ALMEIDA</t>
  </si>
  <si>
    <t>409193130159</t>
  </si>
  <si>
    <t>cintiadosantos4@gmail.com</t>
  </si>
  <si>
    <t>CINTIA DOS SANTOS</t>
  </si>
  <si>
    <t>228274860191</t>
  </si>
  <si>
    <t>Sim, também na urna 512</t>
  </si>
  <si>
    <t>Assinou; Assinou (urna 512)</t>
  </si>
  <si>
    <t>nayara.mendes@itamaraty.gov.br</t>
  </si>
  <si>
    <t>NAYARA GIROTO MENDES</t>
  </si>
  <si>
    <t>355815510167</t>
  </si>
  <si>
    <t>jessicaoliveira9316@gmail.com</t>
  </si>
  <si>
    <t>JESSICA DE OLIVEIRA</t>
  </si>
  <si>
    <t>106070350450</t>
  </si>
  <si>
    <t>ana.spelias@gmail.com</t>
  </si>
  <si>
    <t>ANA PAULA DA SILVA ELIAS</t>
  </si>
  <si>
    <t>407856270175</t>
  </si>
  <si>
    <t>Assinou (urna 3179)</t>
  </si>
  <si>
    <t>dener.asm@gmail.com</t>
  </si>
  <si>
    <t>DENER AUGUSTO SALES MACHADO</t>
  </si>
  <si>
    <t>109790750485</t>
  </si>
  <si>
    <t>fabiola.malta@itamaraty.gov.br</t>
  </si>
  <si>
    <t>FABIOLA CRISTIANE DA SILVA MALTA</t>
  </si>
  <si>
    <t>006435662011</t>
  </si>
  <si>
    <t>wellingtons24.santos@gmail.com</t>
  </si>
  <si>
    <t>WELLINGTON DOS SANTOS</t>
  </si>
  <si>
    <t>426020000167</t>
  </si>
  <si>
    <t>almeidaedi@gmail.com</t>
  </si>
  <si>
    <t>EDINEIA DE ALMEIDA GOMES</t>
  </si>
  <si>
    <t>266846740124</t>
  </si>
  <si>
    <t>gabrielsoares2111@gmail.com</t>
  </si>
  <si>
    <t>GABRIEL SOARES DE CARVALHO</t>
  </si>
  <si>
    <t>215721420205</t>
  </si>
  <si>
    <t>tulio.neves@itamaraty.gov.br</t>
  </si>
  <si>
    <t>TULIO CARLOS DE MOURA NEVES</t>
  </si>
  <si>
    <t>000122531007</t>
  </si>
  <si>
    <t>tfregnani@outlook.com</t>
  </si>
  <si>
    <t>TATIANE CRISTINA FREGNANI</t>
  </si>
  <si>
    <t>262347330141</t>
  </si>
  <si>
    <t>danielalmelo@gmail.com</t>
  </si>
  <si>
    <t>DANIELA LIMA DE MELO CARETTE</t>
  </si>
  <si>
    <t>254243240108</t>
  </si>
  <si>
    <t>passos.matheus@gmail.com</t>
  </si>
  <si>
    <t>MATHEUS PASSOS MENDES</t>
  </si>
  <si>
    <t>381115100116</t>
  </si>
  <si>
    <t>fernanda@brazilirelandchamber.com</t>
  </si>
  <si>
    <t>FERNANDA LIMA HERMANSON CARVALHO LOPES</t>
  </si>
  <si>
    <t>363200640191</t>
  </si>
  <si>
    <t>daniel20022304@gmail.com</t>
  </si>
  <si>
    <t>DANIEL DOS SANTOS JORGE</t>
  </si>
  <si>
    <t>442676540191</t>
  </si>
  <si>
    <t>ingridmach@hotmail.com</t>
  </si>
  <si>
    <t>INGRID MACHADO DOS REIS</t>
  </si>
  <si>
    <t>369375360108</t>
  </si>
  <si>
    <t>dulliusdaniela@gmail.com</t>
  </si>
  <si>
    <t>DANIELA HADWIG DULLIUS</t>
  </si>
  <si>
    <t>103022060469</t>
  </si>
  <si>
    <t>beatrizgilli@hotmail.com</t>
  </si>
  <si>
    <t>BEATRIZ GILLI HADG KARKACHI</t>
  </si>
  <si>
    <t>335145160175</t>
  </si>
  <si>
    <t>anabellacastroie@gmail.com</t>
  </si>
  <si>
    <t>ANABELLA ALVES DE CASTRO</t>
  </si>
  <si>
    <t>091189510396</t>
  </si>
  <si>
    <t>juli_tico@hotmail.com</t>
  </si>
  <si>
    <t>JULIANA CASSIA TAVARES DE SOUSA</t>
  </si>
  <si>
    <t>323422120183</t>
  </si>
  <si>
    <t>lincolnguedesc@gmail.com</t>
  </si>
  <si>
    <t>LINCOLN CUBAS GUEDES</t>
  </si>
  <si>
    <t>107479210647</t>
  </si>
  <si>
    <t>Marcelatkondo@gmail.com</t>
  </si>
  <si>
    <t>MARCELA TIYOKO PASSOS KONDO</t>
  </si>
  <si>
    <t>431799970116</t>
  </si>
  <si>
    <t>talita.montysuma@gmail.com</t>
  </si>
  <si>
    <t>TALITA MORTARI MONTYSUMA</t>
  </si>
  <si>
    <t>003983782410</t>
  </si>
  <si>
    <t>nvlousada@gmail.com</t>
  </si>
  <si>
    <t>NASTASSJA VERONICA LOUSADA GOMES</t>
  </si>
  <si>
    <t>361646820183</t>
  </si>
  <si>
    <t>Assinou (assinatura rasurada)</t>
  </si>
  <si>
    <t>anthonyedasilvagapito@gmail.com</t>
  </si>
  <si>
    <t>ANTHONY EDWARD DA SILVA AGAPITO</t>
  </si>
  <si>
    <t>470520130124</t>
  </si>
  <si>
    <t>rochae@tcd.ie</t>
  </si>
  <si>
    <t>ELTON APARECIDO ROCHA</t>
  </si>
  <si>
    <t>360443460108</t>
  </si>
  <si>
    <t>andersonsilverio14@gmail.com</t>
  </si>
  <si>
    <t>ANDERSON SILVERIO DE OLIVEIRA</t>
  </si>
  <si>
    <t>377789170183</t>
  </si>
  <si>
    <t>jussara.veneza@hotmail.com</t>
  </si>
  <si>
    <t>JUSSARA VENEZA SOARES</t>
  </si>
  <si>
    <t>392475340116</t>
  </si>
  <si>
    <t>Pedido de dispensa</t>
  </si>
  <si>
    <t>perontayna@gmail.com</t>
  </si>
  <si>
    <t>TAYNA STETELI PERON LOPES SILVA</t>
  </si>
  <si>
    <t>403513700175</t>
  </si>
  <si>
    <t>julianacampos21@hotmail.com</t>
  </si>
  <si>
    <t>JULIANA HENRIQUE CAMPOS SILVA</t>
  </si>
  <si>
    <t>056716440833</t>
  </si>
  <si>
    <t>lilianebr.dublin@gmail.com</t>
  </si>
  <si>
    <t>LILIANE SILVA DE SOUZA</t>
  </si>
  <si>
    <t>331599550141</t>
  </si>
  <si>
    <t>Sim, também na urna 3322</t>
  </si>
  <si>
    <t>Assinou; Nome sem assinatura (urna 3322)</t>
  </si>
  <si>
    <t>jack_610aparecida@hormail.com</t>
  </si>
  <si>
    <t>JAQUELINE APARECIDA TEIXEIRA</t>
  </si>
  <si>
    <t>371878170191</t>
  </si>
  <si>
    <t>Nome sem assinatura</t>
  </si>
  <si>
    <t>iglesias_diogo@hotmail.com</t>
  </si>
  <si>
    <t>DIOGO IGLESIAS CORDEIRO</t>
  </si>
  <si>
    <t>031790652283</t>
  </si>
  <si>
    <t>ediones.savaris@gmail.com</t>
  </si>
  <si>
    <t>EDIONES DINIZ SAVARIS</t>
  </si>
  <si>
    <t>020776902208</t>
  </si>
  <si>
    <t>Assinou (fora da linha própria)</t>
  </si>
  <si>
    <t>sousa.franciscaa@gmail.com</t>
  </si>
  <si>
    <t>FRANCISCA THAMIRES DE SOUSA</t>
  </si>
  <si>
    <t>388263170124</t>
  </si>
  <si>
    <t>auroramomolina@icloud.com</t>
  </si>
  <si>
    <t>AURORA MADRIL OLIVEIRA MOLINA</t>
  </si>
  <si>
    <t>069455401368</t>
  </si>
  <si>
    <t>lcaprezzi@gmail.com</t>
  </si>
  <si>
    <t>LUCAS FEITOSA CLAUDINO</t>
  </si>
  <si>
    <t>144785730507</t>
  </si>
  <si>
    <t>marianagasparetti@gmail.com</t>
  </si>
  <si>
    <t>MARIANA JURANDIR GASPARETTI</t>
  </si>
  <si>
    <t>344762680183</t>
  </si>
  <si>
    <t>Fechamento da urna sem nomes nem assinaturas</t>
  </si>
  <si>
    <t>sem contato</t>
  </si>
  <si>
    <t>JOAO GABRIEL BARBOSA CESAR</t>
  </si>
  <si>
    <t>164261590310</t>
  </si>
  <si>
    <t>Título impresso, sem nome nem assinatura</t>
  </si>
  <si>
    <t>TALITA DE ARAUJO CARVALHO</t>
  </si>
  <si>
    <t>063075331040</t>
  </si>
  <si>
    <t xml:space="preserve"> voliveira@gmail.com</t>
  </si>
  <si>
    <t>VINICIUS ARAUJO DE OLIVEIRA</t>
  </si>
  <si>
    <t>114194690361</t>
  </si>
  <si>
    <t>Planilha sem dado ("-"); preenchido pelo boletim</t>
  </si>
  <si>
    <t>malumorgante@gmail.com</t>
  </si>
  <si>
    <t>MARIA LUCIA MORGANTE DE MIRANDA</t>
  </si>
  <si>
    <t>307974360175</t>
  </si>
  <si>
    <t>s.caetanoregina1979@gmail.com</t>
  </si>
  <si>
    <t>SANDRA REGINA CAETANO DE SOUZA</t>
  </si>
  <si>
    <t>276925060183</t>
  </si>
  <si>
    <t>renan.williandc@gmail.com</t>
  </si>
  <si>
    <t>RENAN WILLIAN DA COSTA</t>
  </si>
  <si>
    <t>413779220108</t>
  </si>
  <si>
    <t>Tiagocare@icloud.com</t>
  </si>
  <si>
    <t>TIAGO PAIVA DE CARVALHO</t>
  </si>
  <si>
    <t>290684490183</t>
  </si>
  <si>
    <t>SARA RODRIGUES GOMES</t>
  </si>
  <si>
    <t>106376760442</t>
  </si>
  <si>
    <t xml:space="preserve">353helenafranmalves@gmail.com </t>
  </si>
  <si>
    <t>MARIA HELENA DE FRANÇA MELLO ALVES</t>
  </si>
  <si>
    <t>145516460361</t>
  </si>
  <si>
    <t>ftrindade3411@gmail.com</t>
  </si>
  <si>
    <t>FÁBIO MARCELO DA TRINDADE</t>
  </si>
  <si>
    <t>246647720183</t>
  </si>
  <si>
    <t>fagneralmeidamorais@gmail.com</t>
  </si>
  <si>
    <t>FAGNER DE PAULA ALMEIDA MORAIS</t>
  </si>
  <si>
    <t>196190310221</t>
  </si>
  <si>
    <t>julianawongm@gmail.com</t>
  </si>
  <si>
    <t>JULIANA WONG MENDONÇA</t>
  </si>
  <si>
    <t>174315930370</t>
  </si>
  <si>
    <t xml:space="preserve">luisamontecarmelo@gmail.com </t>
  </si>
  <si>
    <t>LUISA OLIVEIRA DO MONTE CARMELO</t>
  </si>
  <si>
    <t>463410120124</t>
  </si>
  <si>
    <t>maiik5463@hotmail.com</t>
  </si>
  <si>
    <t>MICHAEL DA COSTA MUNIZ</t>
  </si>
  <si>
    <t>407918980116</t>
  </si>
  <si>
    <t>matheuslw@gmail.com</t>
  </si>
  <si>
    <t>MATHEUS CARVALHO MENDONCA</t>
  </si>
  <si>
    <t>062299741031</t>
  </si>
  <si>
    <t>kaique.aquino.oliveira@esb.ie</t>
  </si>
  <si>
    <t>KAIQUE AQUINO OLIVEIRA</t>
  </si>
  <si>
    <t>405418010191</t>
  </si>
  <si>
    <t>krla.dublin16@gmail.com</t>
  </si>
  <si>
    <t>CARLA RIBEIRO DOS SANTOS SIMOES</t>
  </si>
  <si>
    <t>141082260272</t>
  </si>
  <si>
    <t>louiseandrielleprandi@gmail.com</t>
  </si>
  <si>
    <t>LOUISE ANDRIELLE PRANDI</t>
  </si>
  <si>
    <t>066669950922</t>
  </si>
  <si>
    <t>paulalimao88@hotmail.com</t>
  </si>
  <si>
    <t>PAULA LIMÃO DE CAMPOS</t>
  </si>
  <si>
    <t>178391180221</t>
  </si>
  <si>
    <t>rogergoes@hotmail.com</t>
  </si>
  <si>
    <t>ROGERIO LINHARES GOES</t>
  </si>
  <si>
    <t>035793811031</t>
  </si>
  <si>
    <t>paulacipro@gmail.com</t>
  </si>
  <si>
    <t>PAULA CIPRO CARVALHO CAMPOS</t>
  </si>
  <si>
    <t>356909870159</t>
  </si>
  <si>
    <t>luamdmoreira@gmail.com</t>
  </si>
  <si>
    <t>LUAM DUANE ANDRADE MOREIRA</t>
  </si>
  <si>
    <t>063704620957</t>
  </si>
  <si>
    <t>SARA SOBRAL DIAS</t>
  </si>
  <si>
    <t>044827070850</t>
  </si>
  <si>
    <t>saradias1@gmail.com</t>
  </si>
  <si>
    <t>FLAVIA NASCIMENTO DE SOUZA</t>
  </si>
  <si>
    <t>341298950167</t>
  </si>
  <si>
    <t xml:space="preserve"> rodrigoerasmobarboza@gmail.com</t>
  </si>
  <si>
    <t>RODRIGO ERASMO BARBOZA</t>
  </si>
  <si>
    <t>034966040981</t>
  </si>
  <si>
    <t>ednaldo283@gmail.com</t>
  </si>
  <si>
    <t>EDNALDO AZEVEDO DE NORONHA</t>
  </si>
  <si>
    <t>074016700892</t>
  </si>
  <si>
    <t>thaisterencio@hotmail.com</t>
  </si>
  <si>
    <t>THAÍS TERÊNCIO PEREIRA</t>
  </si>
  <si>
    <t>353846650116</t>
  </si>
  <si>
    <t>vanessa.barbosa@itamaraty.gov.br</t>
  </si>
  <si>
    <t>VANESSA ROCHA BARBOSA BARBALHO</t>
  </si>
  <si>
    <t>012505712046</t>
  </si>
  <si>
    <t>leilarosaria@yahoo.com.br</t>
  </si>
  <si>
    <t>LEILA ROSARIA LIOTTA</t>
  </si>
  <si>
    <t>289755370191</t>
  </si>
  <si>
    <t xml:space="preserve">danielpessoa.cardeal@gmail.com </t>
  </si>
  <si>
    <t>DANIEL PESSOA CARDEAL</t>
  </si>
  <si>
    <t>438851640116</t>
  </si>
  <si>
    <t>sandro.cunha2008@gmail.com</t>
  </si>
  <si>
    <t>SANDRO CUNHA DA SILVA</t>
  </si>
  <si>
    <t>315883980175</t>
  </si>
  <si>
    <t>jair.correia@itamaraty.gov.br</t>
  </si>
  <si>
    <t>JAIR DE ASSUNÇÃO CORREIA FILHO</t>
  </si>
  <si>
    <t>048485050850</t>
  </si>
  <si>
    <t>alaf.ribeiro.965@gmail.com</t>
  </si>
  <si>
    <t>HUMBERTO ALAF RIBEIRO MARTINS</t>
  </si>
  <si>
    <t>432966340108</t>
  </si>
  <si>
    <t>jmendes_mendes@live.com</t>
  </si>
  <si>
    <t>JESSICA MENDES</t>
  </si>
  <si>
    <t>371589770116</t>
  </si>
  <si>
    <t>alanegerssicaandrade@gmail.com</t>
  </si>
  <si>
    <t>ALANE GERSSICA DE ANDRADE DO NASCIMENTO</t>
  </si>
  <si>
    <t>067033051090</t>
  </si>
  <si>
    <t>maira.fabiani@itamaraty.gov.br</t>
  </si>
  <si>
    <t>MAÍRA FABIOLA FABIANI</t>
  </si>
  <si>
    <t>291911490183</t>
  </si>
  <si>
    <t>alves.brenda65@gmail.com</t>
  </si>
  <si>
    <t>BRENDA ALVES DA SILVA</t>
  </si>
  <si>
    <t>138840380256</t>
  </si>
  <si>
    <t>Assinou (urna 3054)</t>
  </si>
  <si>
    <t>Atuou em urna diferente da designada; Registrado só no fechamento</t>
  </si>
  <si>
    <t>RUDINEI CORDEIRO</t>
  </si>
  <si>
    <t>070501940973</t>
  </si>
  <si>
    <t>nadiaweber12@yahoo.com.br</t>
  </si>
  <si>
    <t>NADIA FERNANDA WEBER</t>
  </si>
  <si>
    <t>060098140973</t>
  </si>
  <si>
    <t>danferrareis@hotmail.com</t>
  </si>
  <si>
    <t>DANILO ANDERSON FERRAREIS</t>
  </si>
  <si>
    <t>221461620116</t>
  </si>
  <si>
    <t>tstrhgt@gmail.com</t>
  </si>
  <si>
    <t>GUSTAVO DAVID LOPES</t>
  </si>
  <si>
    <t>378192050116</t>
  </si>
  <si>
    <t>tifanyazuma@outlook.com</t>
  </si>
  <si>
    <t>TIFANY AZUMA TROMBINO XANDÚ</t>
  </si>
  <si>
    <t>434149230132</t>
  </si>
  <si>
    <t>Nicolicamilo@hotmail.com</t>
  </si>
  <si>
    <t>NICOLI CAMPOS CAMILO</t>
  </si>
  <si>
    <t>025945261422</t>
  </si>
  <si>
    <t>juliana.nunes2010@hotmail.com</t>
  </si>
  <si>
    <t>JULIANA NUNES DE MENDONÇA</t>
  </si>
  <si>
    <t>160842290281</t>
  </si>
  <si>
    <t>laurabvieiras@gmail.com</t>
  </si>
  <si>
    <t>LAURA BEATRIZ VIEIRA SANTOS</t>
  </si>
  <si>
    <t>213250030299</t>
  </si>
  <si>
    <t>DIEGO MENDANHA DA SILVA MAIA</t>
  </si>
  <si>
    <t>031442581473</t>
  </si>
  <si>
    <t>lauroramos@outlook.com</t>
  </si>
  <si>
    <t>LAURO SILVA RAMOS</t>
  </si>
  <si>
    <t>140841090213</t>
  </si>
  <si>
    <t>GILMAR BARBOSA DE SOUZA</t>
  </si>
  <si>
    <t>235749730175</t>
  </si>
  <si>
    <t>Assinou (assinatura solta no rodapé)</t>
  </si>
  <si>
    <t>Fechamento da urna com nomes manuscritos fora das linhas dos títulos</t>
  </si>
  <si>
    <t>marinacoutor@gmail.com</t>
  </si>
  <si>
    <t>MARINA RODRIGUES COUTO</t>
  </si>
  <si>
    <t>203915870299</t>
  </si>
  <si>
    <t>robertocanallijr@gmail.com</t>
  </si>
  <si>
    <t>ROBERTO CANALLI JUNIOR</t>
  </si>
  <si>
    <t>316781900183</t>
  </si>
  <si>
    <t>thaylaeugeniob@gmail.com</t>
  </si>
  <si>
    <t>THAYLA CHRISTINE EUGENIO BENTO</t>
  </si>
  <si>
    <t>430607590183</t>
  </si>
  <si>
    <t>emillylaise@outlook.com</t>
  </si>
  <si>
    <t>EMILLY LAÍSE PARDO XAVIER</t>
  </si>
  <si>
    <t>136018120523</t>
  </si>
  <si>
    <t xml:space="preserve">cabralbruma@gmail.com </t>
  </si>
  <si>
    <t>BRUNA MARIA DE ALMEIDA CABRAL</t>
  </si>
  <si>
    <t>033053041791</t>
  </si>
  <si>
    <t>IVANI BATISTA DE FREITAS MONTEIRO</t>
  </si>
  <si>
    <t>312335790124</t>
  </si>
  <si>
    <t>Pres.</t>
  </si>
  <si>
    <t>Presentes</t>
  </si>
  <si>
    <t>Ausentes</t>
  </si>
  <si>
    <t>Outros</t>
  </si>
  <si>
    <t>Alerta</t>
  </si>
  <si>
    <t>Eleitores esperados</t>
  </si>
  <si>
    <t>Faixa</t>
  </si>
  <si>
    <t>Total</t>
  </si>
  <si>
    <t>Leitura: nomes e presença vêm da aba Mesarios (coluna Presença). SIM = presente (verde) · NAO = ausente (vermelho) · 0006/2026 (amarelo) · "-" = sem registro (cinza) · VAGO = função sem mesário designado. Editar só a aba Mesarios; esta aba recalcula sozinha.</t>
  </si>
  <si>
    <t>Designados</t>
  </si>
  <si>
    <t>Outros (sem dado)</t>
  </si>
  <si>
    <t>Função vaga</t>
  </si>
  <si>
    <t>Seção agregada</t>
  </si>
  <si>
    <t>Aptos na urna</t>
  </si>
  <si>
    <t>Fonte: Justiça Eleitoral, Elo/Convoca+ — "Relatório de Mesários por Situação", Zona 001/ZZ, Local 1015 RDS Hall 2, emitido 30/09/2026 13:42. Colunas G–I lidas da coluna "Presença consolidada" (M) da aba Mesarios (SIM / NAO), que cruza a lista Elo de 30/09 com os boletins de identificação de 04/10; ver aba "Divergências".</t>
  </si>
  <si>
    <t>Eleitores esperados: comparecimento esperado por urna (seção principal + agregada), já descontada a abstenção — base B do projeto (taxa de 2022 do condado de origem de cada seção), total 11.499 sobre 16.794 aptos. Fonte: repositório hamadmkalaf/dublineleicoesfinal, data/decisoes.json ("mesas"), de saidas/dados.json (CSVs oficiais do TSE). Premissa não oficial: não é previsão do TSE.</t>
  </si>
  <si>
    <t>Faixa: regra de classes do projeto (decisoes.json → "classes"): as 3 maiores urnas = Alto (vermelho); esperado ≥ 450 = Médio (amarelo); abaixo = Baixo (verde). Limiares editáveis em N34:N35.</t>
  </si>
  <si>
    <t>Limiar "Alto" (3ª maior urna)</t>
  </si>
  <si>
    <t>Limiar "Médio"</t>
  </si>
  <si>
    <t>Designados (lista Elo)</t>
  </si>
  <si>
    <t>Registrados na abertura</t>
  </si>
  <si>
    <t>Registrados no fechamento</t>
  </si>
  <si>
    <t>Atuaram na urna (abertura ∪ fechamento)</t>
  </si>
  <si>
    <t>Designados ausentes</t>
  </si>
  <si>
    <t>De outra seção</t>
  </si>
  <si>
    <t>Fora da lista</t>
  </si>
  <si>
    <t>4 de 4 na abertura; Ludmila fechou em 3442.</t>
  </si>
  <si>
    <t>Ana Claudia ausente. Thaisa (planilha SIM) não aparece. Cíntia (1160) registrada também aqui.</t>
  </si>
  <si>
    <t>Só 2 registrados. Bianca (Presidente) não aparece; planilha marcava SIM.</t>
  </si>
  <si>
    <t>Daiane (Presidente) só na abertura.</t>
  </si>
  <si>
    <t>4 de 4. Cíntia também registrada em 512.</t>
  </si>
  <si>
    <t>Ana Paula fechou em 3179.</t>
  </si>
  <si>
    <t>Edineia ausente. Brenda (3322) assinou o fechamento aqui.</t>
  </si>
  <si>
    <t>4 de 4.</t>
  </si>
  <si>
    <t>Fernanda (Presidente) só na abertura.</t>
  </si>
  <si>
    <t>Lincoln (1º Secretário, planilha SIM) não aparece.</t>
  </si>
  <si>
    <t>Presidente (Marcela) ausente. Assinatura de Nastassja rasurada.</t>
  </si>
  <si>
    <t>Ana Paula (1352) assinou o fechamento aqui. Anderson ausente; Jussara pediu dispensa.</t>
  </si>
  <si>
    <t>Jaqueline: nome sem assinatura no fechamento. Liliane também registrada em 3322.</t>
  </si>
  <si>
    <t>Ediones (Presidente): nome manuscrito sobre a linha de separação.</t>
  </si>
  <si>
    <t>Fechamento sem nomes nem assinaturas; presidente só na abertura. Vinicius (1º Secretário) não aparece.</t>
  </si>
  <si>
    <t>Presidente (Sara Rodrigues Gomes) ausente.</t>
  </si>
  <si>
    <t>Kaique (Presidente, planilha SIM) não aparece.</t>
  </si>
  <si>
    <t>Sara e Paula: nome sem assinatura no fechamento.</t>
  </si>
  <si>
    <t>Vanessa (Presidente) só na abertura.</t>
  </si>
  <si>
    <t>Só 2 registrados (Jair e Alane, designados, não aparecem). Planilha marcava os 4 como SIM.</t>
  </si>
  <si>
    <t>Rudinei e Brenda ausentes. Thalison (não listado) assinou; Liliane (3216) registrada aqui.</t>
  </si>
  <si>
    <t>Gustavo e Tifany ausentes. Ludmila (511) registrada aqui.</t>
  </si>
  <si>
    <t>Laura ausente. Lauro presente (planilha dizia NAO).</t>
  </si>
  <si>
    <t>Nomes manuscritos no fechamento não correspondem às linhas dos títulos; todos os 4 registrados na abertura.</t>
  </si>
  <si>
    <t>Urna só com 3 designados (sem 2º Mesário); 3 de 3.</t>
  </si>
  <si>
    <t>Fonte: fotos dos boletins de identificação de mesários (urna, 04/10/2026), lidas por OCR dos títulos impressos e conferidas visualmente; casadas com o título de eleitor da lista Elo/Convoca+ de 30/09. "Registrado" = título impresso na abertura/fechamento. Assinatura foi conferida à vista.</t>
  </si>
  <si>
    <t>Planilha (E)</t>
  </si>
  <si>
    <t>Boletim (M)</t>
  </si>
  <si>
    <t>Tipo</t>
  </si>
  <si>
    <t>Nome (como lido na foto)</t>
  </si>
  <si>
    <t>Título (impresso)</t>
  </si>
  <si>
    <t>Urna</t>
  </si>
  <si>
    <t>Abertura</t>
  </si>
  <si>
    <t>Fechamento</t>
  </si>
  <si>
    <t>THALISON MIQUILINI MOTTA</t>
  </si>
  <si>
    <t>1907 0865 0248</t>
  </si>
  <si>
    <t>Não consta da lista Elo de 30/09 (111 mesários). Grafia manuscrita lida da foto, a confirmar. Provável substituto de Rudinei Cordeiro ou Brenda Alves (3322).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</si>
</sst>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6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name val="Calibri"/>
      <charset val="1"/>
    </font>
    <font>
      <i/>
      <sz val="11"/>
      <name val="Calibri"/>
      <charset val="1"/>
    </font>
    <font>
      <b/>
      <sz val="11"/>
      <color rgb="FFFFFFFF"/>
      <name val="Calibri"/>
      <charset val="1"/>
    </font>
    <font>
      <u/>
      <sz val="11"/>
      <color rgb="FF0000FF"/>
      <name val="Calibri"/>
      <family val="2"/>
      <charset val="1"/>
    </font>
    <font>
      <u/>
      <sz val="11"/>
      <color theme="10"/>
      <name val="Calibri"/>
      <family val="2"/>
      <charset val="1"/>
    </font>
    <font>
      <sz val="9"/>
      <color rgb="FF808080"/>
      <name val="Calibri"/>
      <charset val="1"/>
    </font>
    <font>
      <u/>
      <sz val="11"/>
      <name val="Calibri"/>
      <family val="2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i/>
      <sz val="9"/>
      <name val="Arial"/>
      <charset val="1"/>
    </font>
    <font>
      <sz val="9"/>
      <name val="Arial"/>
      <charset val="1"/>
    </font>
    <font>
      <sz val="9"/>
      <color rgb="FF0000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0" fontId="8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6" fillId="2" borderId="0" xfId="0" applyFont="1" applyFill="1"/>
    <xf numFmtId="164" fontId="2" fillId="0" borderId="0" xfId="0" applyNumberFormat="1" applyFont="1"/>
    <xf numFmtId="0" fontId="7" fillId="0" borderId="0" xfId="1" applyFont="1"/>
    <xf numFmtId="0" fontId="9" fillId="0" borderId="0" xfId="0" applyFont="1"/>
    <xf numFmtId="49" fontId="2" fillId="0" borderId="0" xfId="0" applyNumberFormat="1" applyFont="1"/>
    <xf numFmtId="0" fontId="10" fillId="0" borderId="0" xfId="1" applyFont="1"/>
    <xf numFmtId="0" fontId="6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/>
    <xf numFmtId="0" fontId="4" fillId="0" borderId="0" xfId="0" applyFont="1"/>
    <xf numFmtId="0" fontId="11" fillId="2" borderId="0" xfId="0" applyFont="1" applyFill="1" applyAlignment="1">
      <alignment horizontal="center" wrapText="1"/>
    </xf>
    <xf numFmtId="0" fontId="11" fillId="2" borderId="0" xfId="0" applyFont="1" applyFill="1" applyAlignment="1">
      <alignment horizontal="left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" fontId="12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3" fontId="3" fillId="0" borderId="2" xfId="0" applyNumberFormat="1" applyFont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right"/>
    </xf>
    <xf numFmtId="3" fontId="14" fillId="0" borderId="0" xfId="0" applyNumberFormat="1" applyFont="1" applyAlignment="1">
      <alignment horizontal="center"/>
    </xf>
    <xf numFmtId="3" fontId="15" fillId="0" borderId="0" xfId="0" applyNumberFormat="1" applyFont="1" applyAlignment="1">
      <alignment horizontal="center"/>
    </xf>
    <xf numFmtId="0" fontId="2" fillId="0" borderId="0" xfId="0" applyFont="1" applyAlignment="1">
      <alignment vertical="top"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28">
    <dxf>
      <font>
        <b/>
        <color rgb="FFFFFFFF"/>
      </font>
      <fill>
        <patternFill>
          <bgColor rgb="FF70AD47"/>
        </patternFill>
      </fill>
    </dxf>
    <dxf>
      <font>
        <b/>
        <color rgb="FF000000"/>
      </font>
      <fill>
        <patternFill>
          <bgColor rgb="FFFFD966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color rgb="FF7F60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8CBAD"/>
        </patternFill>
      </fill>
    </dxf>
    <dxf>
      <fill>
        <patternFill>
          <bgColor rgb="FFFCE4D6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000000"/>
      </font>
      <fill>
        <patternFill>
          <bgColor rgb="FFFFD966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color rgb="FF7F60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7F60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rgb="FF70AD47"/>
        </patternFill>
      </fill>
    </dxf>
    <dxf>
      <fill>
        <patternFill>
          <bgColor rgb="FFFFD966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7F60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CE4D6"/>
      <rgbColor rgb="FFE7E6E6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D966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wellingtons24.santos@gmail.com" TargetMode="External"/><Relationship Id="rId21" Type="http://schemas.openxmlformats.org/officeDocument/2006/relationships/hyperlink" Target="mailto:nayara.mendes@itamaraty.gov.br" TargetMode="External"/><Relationship Id="rId42" Type="http://schemas.openxmlformats.org/officeDocument/2006/relationships/hyperlink" Target="mailto:talita.montysuma@gmail.com" TargetMode="External"/><Relationship Id="rId47" Type="http://schemas.openxmlformats.org/officeDocument/2006/relationships/hyperlink" Target="mailto:jussara.veneza@hotmail.com" TargetMode="External"/><Relationship Id="rId63" Type="http://schemas.openxmlformats.org/officeDocument/2006/relationships/hyperlink" Target="mailto:ftrindade3411@gmail.com" TargetMode="External"/><Relationship Id="rId68" Type="http://schemas.openxmlformats.org/officeDocument/2006/relationships/hyperlink" Target="mailto:matheuslw@gmail.com" TargetMode="External"/><Relationship Id="rId84" Type="http://schemas.openxmlformats.org/officeDocument/2006/relationships/hyperlink" Target="mailto:alaf.ribeiro.965@gmail.com" TargetMode="External"/><Relationship Id="rId89" Type="http://schemas.openxmlformats.org/officeDocument/2006/relationships/hyperlink" Target="mailto:nadiaweber12@yahoo.com.br" TargetMode="External"/><Relationship Id="rId16" Type="http://schemas.openxmlformats.org/officeDocument/2006/relationships/hyperlink" Target="mailto:tucanamariana@gmail.com" TargetMode="External"/><Relationship Id="rId11" Type="http://schemas.openxmlformats.org/officeDocument/2006/relationships/hyperlink" Target="mailto:isabelabattisti@gmail.com" TargetMode="External"/><Relationship Id="rId32" Type="http://schemas.openxmlformats.org/officeDocument/2006/relationships/hyperlink" Target="mailto:passos.matheus@gmail.com" TargetMode="External"/><Relationship Id="rId37" Type="http://schemas.openxmlformats.org/officeDocument/2006/relationships/hyperlink" Target="mailto:beatrizgilli@hotmail.com" TargetMode="External"/><Relationship Id="rId53" Type="http://schemas.openxmlformats.org/officeDocument/2006/relationships/hyperlink" Target="mailto:ediones.savaris@gmail.com" TargetMode="External"/><Relationship Id="rId58" Type="http://schemas.openxmlformats.org/officeDocument/2006/relationships/hyperlink" Target="mailto:malumorgante@gmail.com" TargetMode="External"/><Relationship Id="rId74" Type="http://schemas.openxmlformats.org/officeDocument/2006/relationships/hyperlink" Target="mailto:paulacipro@gmail.com" TargetMode="External"/><Relationship Id="rId79" Type="http://schemas.openxmlformats.org/officeDocument/2006/relationships/hyperlink" Target="mailto:vanessa.barbosa@itamaraty.gov.br" TargetMode="External"/><Relationship Id="rId5" Type="http://schemas.openxmlformats.org/officeDocument/2006/relationships/hyperlink" Target="mailto:anaclaudiamazurok@gmail.com" TargetMode="External"/><Relationship Id="rId90" Type="http://schemas.openxmlformats.org/officeDocument/2006/relationships/hyperlink" Target="mailto:danferrareis@hotmail.com" TargetMode="External"/><Relationship Id="rId95" Type="http://schemas.openxmlformats.org/officeDocument/2006/relationships/hyperlink" Target="mailto:laurabvieiras@gmail.com" TargetMode="External"/><Relationship Id="rId22" Type="http://schemas.openxmlformats.org/officeDocument/2006/relationships/hyperlink" Target="mailto:jessicaoliveira9316@gmail.com" TargetMode="External"/><Relationship Id="rId27" Type="http://schemas.openxmlformats.org/officeDocument/2006/relationships/hyperlink" Target="mailto:almeidaedi@gmail.com" TargetMode="External"/><Relationship Id="rId43" Type="http://schemas.openxmlformats.org/officeDocument/2006/relationships/hyperlink" Target="mailto:nvlousada@gmail.com" TargetMode="External"/><Relationship Id="rId48" Type="http://schemas.openxmlformats.org/officeDocument/2006/relationships/hyperlink" Target="mailto:perontayna@gmail.com" TargetMode="External"/><Relationship Id="rId64" Type="http://schemas.openxmlformats.org/officeDocument/2006/relationships/hyperlink" Target="mailto:fagneralmeidamorais@gmail.com" TargetMode="External"/><Relationship Id="rId69" Type="http://schemas.openxmlformats.org/officeDocument/2006/relationships/hyperlink" Target="mailto:kaique.aquino.oliveira@esb.ie" TargetMode="External"/><Relationship Id="rId80" Type="http://schemas.openxmlformats.org/officeDocument/2006/relationships/hyperlink" Target="mailto:leilarosaria@yahoo.com.br" TargetMode="External"/><Relationship Id="rId85" Type="http://schemas.openxmlformats.org/officeDocument/2006/relationships/hyperlink" Target="mailto:jmendes_mendes@live.com" TargetMode="External"/><Relationship Id="rId12" Type="http://schemas.openxmlformats.org/officeDocument/2006/relationships/hyperlink" Target="mailto:aline.barros@outlook.com" TargetMode="External"/><Relationship Id="rId17" Type="http://schemas.openxmlformats.org/officeDocument/2006/relationships/hyperlink" Target="mailto:pamela.silva@itamaraty.gov.br" TargetMode="External"/><Relationship Id="rId25" Type="http://schemas.openxmlformats.org/officeDocument/2006/relationships/hyperlink" Target="mailto:fabiola.malta@itamaraty.gov.br" TargetMode="External"/><Relationship Id="rId33" Type="http://schemas.openxmlformats.org/officeDocument/2006/relationships/hyperlink" Target="mailto:fernanda@brazilirelandchamber.com" TargetMode="External"/><Relationship Id="rId38" Type="http://schemas.openxmlformats.org/officeDocument/2006/relationships/hyperlink" Target="mailto:anabellacastroie@gmail.com" TargetMode="External"/><Relationship Id="rId46" Type="http://schemas.openxmlformats.org/officeDocument/2006/relationships/hyperlink" Target="mailto:andersonsilverio14@gmail.com" TargetMode="External"/><Relationship Id="rId59" Type="http://schemas.openxmlformats.org/officeDocument/2006/relationships/hyperlink" Target="mailto:s.caetanoregina1979@gmail.com" TargetMode="External"/><Relationship Id="rId67" Type="http://schemas.openxmlformats.org/officeDocument/2006/relationships/hyperlink" Target="mailto:maiik5463@hotmail.com" TargetMode="External"/><Relationship Id="rId20" Type="http://schemas.openxmlformats.org/officeDocument/2006/relationships/hyperlink" Target="mailto:cintiadosantos4@gmail.com" TargetMode="External"/><Relationship Id="rId41" Type="http://schemas.openxmlformats.org/officeDocument/2006/relationships/hyperlink" Target="mailto:Marcelatkondo@gmail.com" TargetMode="External"/><Relationship Id="rId54" Type="http://schemas.openxmlformats.org/officeDocument/2006/relationships/hyperlink" Target="mailto:sousa.franciscaa@gmail.com" TargetMode="External"/><Relationship Id="rId62" Type="http://schemas.openxmlformats.org/officeDocument/2006/relationships/hyperlink" Target="mailto:353helenafranmalves@gmail.com" TargetMode="External"/><Relationship Id="rId70" Type="http://schemas.openxmlformats.org/officeDocument/2006/relationships/hyperlink" Target="mailto:krla.dublin16@gmail.com" TargetMode="External"/><Relationship Id="rId75" Type="http://schemas.openxmlformats.org/officeDocument/2006/relationships/hyperlink" Target="mailto:luamdmoreira@gmail.com" TargetMode="External"/><Relationship Id="rId83" Type="http://schemas.openxmlformats.org/officeDocument/2006/relationships/hyperlink" Target="mailto:jair.correia@itamaraty.gov.br" TargetMode="External"/><Relationship Id="rId88" Type="http://schemas.openxmlformats.org/officeDocument/2006/relationships/hyperlink" Target="mailto:alves.brenda65@gmail.com" TargetMode="External"/><Relationship Id="rId91" Type="http://schemas.openxmlformats.org/officeDocument/2006/relationships/hyperlink" Target="mailto:tstrhgt@gmail.com" TargetMode="External"/><Relationship Id="rId96" Type="http://schemas.openxmlformats.org/officeDocument/2006/relationships/hyperlink" Target="mailto:lauroramos@outlook.com" TargetMode="External"/><Relationship Id="rId1" Type="http://schemas.openxmlformats.org/officeDocument/2006/relationships/hyperlink" Target="mailto:Felipegustavo.ie@outlook.com" TargetMode="External"/><Relationship Id="rId6" Type="http://schemas.openxmlformats.org/officeDocument/2006/relationships/hyperlink" Target="mailto:caiorossiter@gmail.com" TargetMode="External"/><Relationship Id="rId15" Type="http://schemas.openxmlformats.org/officeDocument/2006/relationships/hyperlink" Target="mailto:rafaelrodrigues2011@gmail.com" TargetMode="External"/><Relationship Id="rId23" Type="http://schemas.openxmlformats.org/officeDocument/2006/relationships/hyperlink" Target="mailto:ana.spelias@gmail.com" TargetMode="External"/><Relationship Id="rId28" Type="http://schemas.openxmlformats.org/officeDocument/2006/relationships/hyperlink" Target="mailto:gabrielsoares2111@gmail.com" TargetMode="External"/><Relationship Id="rId36" Type="http://schemas.openxmlformats.org/officeDocument/2006/relationships/hyperlink" Target="mailto:dulliusdaniela@gmail.com" TargetMode="External"/><Relationship Id="rId49" Type="http://schemas.openxmlformats.org/officeDocument/2006/relationships/hyperlink" Target="mailto:julianacampos21@hotmail.com" TargetMode="External"/><Relationship Id="rId57" Type="http://schemas.openxmlformats.org/officeDocument/2006/relationships/hyperlink" Target="mailto:marianagasparetti@gmail.com" TargetMode="External"/><Relationship Id="rId10" Type="http://schemas.openxmlformats.org/officeDocument/2006/relationships/hyperlink" Target="mailto:Luizsmania1@gmail.com" TargetMode="External"/><Relationship Id="rId31" Type="http://schemas.openxmlformats.org/officeDocument/2006/relationships/hyperlink" Target="mailto:danielalmelo@gmail.com" TargetMode="External"/><Relationship Id="rId44" Type="http://schemas.openxmlformats.org/officeDocument/2006/relationships/hyperlink" Target="mailto:anthonyedasilvagapito@gmail.com" TargetMode="External"/><Relationship Id="rId52" Type="http://schemas.openxmlformats.org/officeDocument/2006/relationships/hyperlink" Target="mailto:iglesias_diogo@hotmail.com" TargetMode="External"/><Relationship Id="rId60" Type="http://schemas.openxmlformats.org/officeDocument/2006/relationships/hyperlink" Target="mailto:renan.williandc@gmail.com" TargetMode="External"/><Relationship Id="rId65" Type="http://schemas.openxmlformats.org/officeDocument/2006/relationships/hyperlink" Target="mailto:julianawongm@gmail.com" TargetMode="External"/><Relationship Id="rId73" Type="http://schemas.openxmlformats.org/officeDocument/2006/relationships/hyperlink" Target="mailto:rogergoes@hotmail.com" TargetMode="External"/><Relationship Id="rId78" Type="http://schemas.openxmlformats.org/officeDocument/2006/relationships/hyperlink" Target="mailto:thaisterencio@hotmail.com" TargetMode="External"/><Relationship Id="rId81" Type="http://schemas.openxmlformats.org/officeDocument/2006/relationships/hyperlink" Target="mailto:danielpessoa.cardeal@gmail.com" TargetMode="External"/><Relationship Id="rId86" Type="http://schemas.openxmlformats.org/officeDocument/2006/relationships/hyperlink" Target="mailto:alanegerssicaandrade@gmail.com" TargetMode="External"/><Relationship Id="rId94" Type="http://schemas.openxmlformats.org/officeDocument/2006/relationships/hyperlink" Target="mailto:juliana.nunes2010@hotmail.com" TargetMode="External"/><Relationship Id="rId99" Type="http://schemas.openxmlformats.org/officeDocument/2006/relationships/hyperlink" Target="mailto:thaylaeugeniob@gmail.com" TargetMode="External"/><Relationship Id="rId101" Type="http://schemas.openxmlformats.org/officeDocument/2006/relationships/hyperlink" Target="mailto:cabralbruma@gmail.com" TargetMode="External"/><Relationship Id="rId4" Type="http://schemas.openxmlformats.org/officeDocument/2006/relationships/hyperlink" Target="mailto:beabertocco@gmail.com" TargetMode="External"/><Relationship Id="rId9" Type="http://schemas.openxmlformats.org/officeDocument/2006/relationships/hyperlink" Target="mailto:bianca.goulart@itamaraty.gov.br" TargetMode="External"/><Relationship Id="rId13" Type="http://schemas.openxmlformats.org/officeDocument/2006/relationships/hyperlink" Target="mailto:DAIANELEALG@GMAIL.COM" TargetMode="External"/><Relationship Id="rId18" Type="http://schemas.openxmlformats.org/officeDocument/2006/relationships/hyperlink" Target="mailto:arthurgf96@gmail.com" TargetMode="External"/><Relationship Id="rId39" Type="http://schemas.openxmlformats.org/officeDocument/2006/relationships/hyperlink" Target="mailto:juli_tico@hotmail.com" TargetMode="External"/><Relationship Id="rId34" Type="http://schemas.openxmlformats.org/officeDocument/2006/relationships/hyperlink" Target="mailto:daniel20022304@gmail.com" TargetMode="External"/><Relationship Id="rId50" Type="http://schemas.openxmlformats.org/officeDocument/2006/relationships/hyperlink" Target="mailto:lilianebr.dublin@gmail.com" TargetMode="External"/><Relationship Id="rId55" Type="http://schemas.openxmlformats.org/officeDocument/2006/relationships/hyperlink" Target="mailto:auroramomolina@icloud.com" TargetMode="External"/><Relationship Id="rId76" Type="http://schemas.openxmlformats.org/officeDocument/2006/relationships/hyperlink" Target="mailto:saradias1@gmail.com" TargetMode="External"/><Relationship Id="rId97" Type="http://schemas.openxmlformats.org/officeDocument/2006/relationships/hyperlink" Target="mailto:marinacoutor@gmail.com" TargetMode="External"/><Relationship Id="rId7" Type="http://schemas.openxmlformats.org/officeDocument/2006/relationships/hyperlink" Target="mailto:camilamouramartins1987@gmail.com" TargetMode="External"/><Relationship Id="rId71" Type="http://schemas.openxmlformats.org/officeDocument/2006/relationships/hyperlink" Target="mailto:louiseandrielleprandi@gmail.com" TargetMode="External"/><Relationship Id="rId92" Type="http://schemas.openxmlformats.org/officeDocument/2006/relationships/hyperlink" Target="mailto:tifanyazuma@outlook.com" TargetMode="External"/><Relationship Id="rId2" Type="http://schemas.openxmlformats.org/officeDocument/2006/relationships/hyperlink" Target="mailto:Ericcount19@hotmail.com" TargetMode="External"/><Relationship Id="rId29" Type="http://schemas.openxmlformats.org/officeDocument/2006/relationships/hyperlink" Target="mailto:tulio.neves@itamaraty.gov.br" TargetMode="External"/><Relationship Id="rId24" Type="http://schemas.openxmlformats.org/officeDocument/2006/relationships/hyperlink" Target="mailto:dener.asm@gmail.com" TargetMode="External"/><Relationship Id="rId40" Type="http://schemas.openxmlformats.org/officeDocument/2006/relationships/hyperlink" Target="mailto:lincolnguedesc@gmail.com" TargetMode="External"/><Relationship Id="rId45" Type="http://schemas.openxmlformats.org/officeDocument/2006/relationships/hyperlink" Target="mailto:rochae@tcd.ie" TargetMode="External"/><Relationship Id="rId66" Type="http://schemas.openxmlformats.org/officeDocument/2006/relationships/hyperlink" Target="mailto:luisamontecarmelo@gmail.com" TargetMode="External"/><Relationship Id="rId87" Type="http://schemas.openxmlformats.org/officeDocument/2006/relationships/hyperlink" Target="mailto:maira.fabiani@itamaraty.gov.br" TargetMode="External"/><Relationship Id="rId61" Type="http://schemas.openxmlformats.org/officeDocument/2006/relationships/hyperlink" Target="mailto:Tiagocare@icloud.com" TargetMode="External"/><Relationship Id="rId82" Type="http://schemas.openxmlformats.org/officeDocument/2006/relationships/hyperlink" Target="mailto:sandro.cunha2008@gmail.com" TargetMode="External"/><Relationship Id="rId19" Type="http://schemas.openxmlformats.org/officeDocument/2006/relationships/hyperlink" Target="mailto:crislainedealmeida@hotmail.com" TargetMode="External"/><Relationship Id="rId14" Type="http://schemas.openxmlformats.org/officeDocument/2006/relationships/hyperlink" Target="mailto:cinthia_ralmeida2@hotmail.com" TargetMode="External"/><Relationship Id="rId30" Type="http://schemas.openxmlformats.org/officeDocument/2006/relationships/hyperlink" Target="mailto:tfregnani@outlook.com" TargetMode="External"/><Relationship Id="rId35" Type="http://schemas.openxmlformats.org/officeDocument/2006/relationships/hyperlink" Target="mailto:ingridmach@hotmail.com" TargetMode="External"/><Relationship Id="rId56" Type="http://schemas.openxmlformats.org/officeDocument/2006/relationships/hyperlink" Target="mailto:lcaprezzi@gmail.com" TargetMode="External"/><Relationship Id="rId77" Type="http://schemas.openxmlformats.org/officeDocument/2006/relationships/hyperlink" Target="mailto:ednaldo283@gmail.com" TargetMode="External"/><Relationship Id="rId100" Type="http://schemas.openxmlformats.org/officeDocument/2006/relationships/hyperlink" Target="mailto:emillylaise@outlook.com" TargetMode="External"/><Relationship Id="rId8" Type="http://schemas.openxmlformats.org/officeDocument/2006/relationships/hyperlink" Target="mailto:tbbfelix@gmail.com" TargetMode="External"/><Relationship Id="rId51" Type="http://schemas.openxmlformats.org/officeDocument/2006/relationships/hyperlink" Target="mailto:jack_610aparecida@hormail.com" TargetMode="External"/><Relationship Id="rId72" Type="http://schemas.openxmlformats.org/officeDocument/2006/relationships/hyperlink" Target="mailto:paulalimao88@hotmail.com" TargetMode="External"/><Relationship Id="rId93" Type="http://schemas.openxmlformats.org/officeDocument/2006/relationships/hyperlink" Target="mailto:Nicolicamilo@hotmail.com" TargetMode="External"/><Relationship Id="rId98" Type="http://schemas.openxmlformats.org/officeDocument/2006/relationships/hyperlink" Target="mailto:robertocanallijr@gmail.com" TargetMode="External"/><Relationship Id="rId3" Type="http://schemas.openxmlformats.org/officeDocument/2006/relationships/hyperlink" Target="mailto:ludmilamaiamaci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zoomScaleNormal="100" workbookViewId="0"/>
  </sheetViews>
  <sheetFormatPr defaultColWidth="8.7109375" defaultRowHeight="15" x14ac:dyDescent="0.25"/>
  <cols>
    <col min="1" max="1" width="50" customWidth="1"/>
    <col min="2" max="2" width="70" customWidth="1"/>
  </cols>
  <sheetData>
    <row r="1" spans="1:2" ht="15.75" customHeight="1" x14ac:dyDescent="0.25">
      <c r="A1" s="1" t="s">
        <v>0</v>
      </c>
    </row>
    <row r="3" spans="1:2" x14ac:dyDescent="0.25">
      <c r="A3" s="2" t="s">
        <v>1</v>
      </c>
      <c r="B3" s="3">
        <f>COUNTA(Mesarios!D2:D112)</f>
        <v>111</v>
      </c>
    </row>
    <row r="4" spans="1:2" x14ac:dyDescent="0.25">
      <c r="A4" s="2" t="s">
        <v>2</v>
      </c>
      <c r="B4" s="3">
        <f>COUNTIF(Mesarios!$M$2:$M$112,"SIM")</f>
        <v>92</v>
      </c>
    </row>
    <row r="5" spans="1:2" x14ac:dyDescent="0.25">
      <c r="A5" s="2" t="s">
        <v>3</v>
      </c>
      <c r="B5" s="3">
        <f>COUNTIF(Mesarios!$M$2:$M$112,"NAO")</f>
        <v>19</v>
      </c>
    </row>
    <row r="6" spans="1:2" x14ac:dyDescent="0.25">
      <c r="A6" s="2" t="s">
        <v>4</v>
      </c>
      <c r="B6" s="3">
        <f>COUNTIF(Mesarios!$N$2:$N$112,"Planilha SIM*")</f>
        <v>2</v>
      </c>
    </row>
    <row r="7" spans="1:2" x14ac:dyDescent="0.25">
      <c r="A7" s="2" t="s">
        <v>5</v>
      </c>
      <c r="B7" s="3">
        <f>COUNTIF(Mesarios!$N$2:$N$112,"Planilha NAO*")</f>
        <v>0</v>
      </c>
    </row>
    <row r="8" spans="1:2" x14ac:dyDescent="0.25">
      <c r="A8" s="2" t="s">
        <v>6</v>
      </c>
      <c r="B8" s="3">
        <f>COUNTIF(Mesarios!$N$2:$N$112,"Planilha sem dado*")</f>
        <v>0</v>
      </c>
    </row>
    <row r="9" spans="1:2" x14ac:dyDescent="0.25">
      <c r="A9" s="2" t="s">
        <v>7</v>
      </c>
      <c r="B9" s="4" t="str">
        <f>IF(B4+B5=B3,"OK","DIVERGE")</f>
        <v>OK</v>
      </c>
    </row>
    <row r="10" spans="1:2" x14ac:dyDescent="0.25">
      <c r="A10" s="2" t="s">
        <v>8</v>
      </c>
      <c r="B10" s="3">
        <f>COUNTA('Por secao'!A2:A29)</f>
        <v>28</v>
      </c>
    </row>
    <row r="11" spans="1:2" x14ac:dyDescent="0.25">
      <c r="A11" s="2" t="s">
        <v>9</v>
      </c>
      <c r="B11" s="3">
        <f>COUNTIF('Por secao'!G2:G29,4)</f>
        <v>13</v>
      </c>
    </row>
    <row r="12" spans="1:2" x14ac:dyDescent="0.25">
      <c r="A12" t="s">
        <v>10</v>
      </c>
      <c r="B12" s="5">
        <f>COUNTIF('Por secao'!G2:G29,3)</f>
        <v>10</v>
      </c>
    </row>
    <row r="13" spans="1:2" x14ac:dyDescent="0.25">
      <c r="A13" t="s">
        <v>11</v>
      </c>
      <c r="B13" s="5">
        <f>COUNTIF('Por secao'!G2:G29,"&lt;=2")</f>
        <v>5</v>
      </c>
    </row>
    <row r="14" spans="1:2" x14ac:dyDescent="0.25">
      <c r="A14" t="s">
        <v>12</v>
      </c>
      <c r="B14" s="5">
        <f>COUNTIF('Por secao'!B2:B29,3)</f>
        <v>1</v>
      </c>
    </row>
    <row r="15" spans="1:2" x14ac:dyDescent="0.25">
      <c r="A15" t="s">
        <v>13</v>
      </c>
      <c r="B15" s="5">
        <f>'Por secao'!C30</f>
        <v>0</v>
      </c>
    </row>
    <row r="16" spans="1:2" ht="90" customHeight="1" x14ac:dyDescent="0.25">
      <c r="A16" s="6" t="s">
        <v>14</v>
      </c>
      <c r="B16" s="5" t="s">
        <v>15</v>
      </c>
    </row>
    <row r="17" spans="1:2" x14ac:dyDescent="0.25">
      <c r="A17" t="s">
        <v>16</v>
      </c>
      <c r="B17" s="5">
        <f>COUNTA('Fora da lista'!A2:A10)</f>
        <v>1</v>
      </c>
    </row>
    <row r="18" spans="1:2" ht="90" customHeight="1" x14ac:dyDescent="0.25">
      <c r="A18" s="6" t="s">
        <v>17</v>
      </c>
      <c r="B18" s="5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2"/>
  <sheetViews>
    <sheetView tabSelected="1" topLeftCell="D1" zoomScaleNormal="100" workbookViewId="0">
      <pane ySplit="1" topLeftCell="A6" activePane="bottomLeft" state="frozen"/>
      <selection pane="bottomLeft" activeCell="G93" sqref="G93"/>
    </sheetView>
  </sheetViews>
  <sheetFormatPr defaultColWidth="8.7109375" defaultRowHeight="15" x14ac:dyDescent="0.25"/>
  <cols>
    <col min="1" max="1" width="9" customWidth="1"/>
    <col min="2" max="2" width="15" customWidth="1"/>
    <col min="3" max="3" width="46" customWidth="1"/>
    <col min="4" max="4" width="49.140625" customWidth="1"/>
    <col min="5" max="5" width="19.42578125" customWidth="1"/>
    <col min="6" max="6" width="18" customWidth="1"/>
    <col min="7" max="8" width="16" customWidth="1"/>
    <col min="9" max="9" width="18" customWidth="1"/>
    <col min="10" max="10" width="11" customWidth="1"/>
    <col min="11" max="11" width="26" customWidth="1"/>
    <col min="12" max="12" width="38" customWidth="1"/>
    <col min="13" max="13" width="13" customWidth="1"/>
    <col min="14" max="14" width="44" customWidth="1"/>
    <col min="15" max="15" width="60" customWidth="1"/>
  </cols>
  <sheetData>
    <row r="1" spans="1:15" ht="4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8" t="s">
        <v>23</v>
      </c>
      <c r="F1" s="9" t="s">
        <v>24</v>
      </c>
      <c r="G1" s="8" t="s">
        <v>25</v>
      </c>
      <c r="H1" s="8" t="s">
        <v>26</v>
      </c>
      <c r="I1" s="8" t="s">
        <v>27</v>
      </c>
      <c r="J1" s="8" t="s">
        <v>28</v>
      </c>
      <c r="K1" s="8" t="s">
        <v>29</v>
      </c>
      <c r="L1" s="8" t="s">
        <v>30</v>
      </c>
      <c r="M1" s="8" t="s">
        <v>31</v>
      </c>
      <c r="N1" s="8" t="s">
        <v>32</v>
      </c>
      <c r="O1" s="8" t="s">
        <v>17</v>
      </c>
    </row>
    <row r="2" spans="1:15" x14ac:dyDescent="0.25">
      <c r="A2" s="10">
        <v>511</v>
      </c>
      <c r="B2" s="2" t="s">
        <v>33</v>
      </c>
      <c r="C2" s="11" t="s">
        <v>34</v>
      </c>
      <c r="D2" s="2" t="s">
        <v>35</v>
      </c>
      <c r="E2" s="2" t="s">
        <v>36</v>
      </c>
      <c r="F2" s="12" t="str">
        <f t="shared" ref="F2:F33" si="0">A2&amp;"|"&amp;B2</f>
        <v>511|Presidente</v>
      </c>
      <c r="G2" s="13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36</v>
      </c>
      <c r="N2" s="2" t="s">
        <v>43</v>
      </c>
      <c r="O2" s="2"/>
    </row>
    <row r="3" spans="1:15" x14ac:dyDescent="0.25">
      <c r="A3" s="10">
        <v>511</v>
      </c>
      <c r="B3" s="2" t="s">
        <v>44</v>
      </c>
      <c r="C3" s="11" t="s">
        <v>45</v>
      </c>
      <c r="D3" s="2" t="s">
        <v>46</v>
      </c>
      <c r="E3" s="2" t="s">
        <v>36</v>
      </c>
      <c r="F3" s="12" t="str">
        <f t="shared" si="0"/>
        <v>511|1º Mesário</v>
      </c>
      <c r="G3" s="13" t="s">
        <v>47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36</v>
      </c>
      <c r="N3" s="2" t="s">
        <v>43</v>
      </c>
      <c r="O3" s="2"/>
    </row>
    <row r="4" spans="1:15" x14ac:dyDescent="0.25">
      <c r="A4" s="10">
        <v>511</v>
      </c>
      <c r="B4" s="2" t="s">
        <v>48</v>
      </c>
      <c r="C4" s="11" t="s">
        <v>49</v>
      </c>
      <c r="D4" s="2" t="s">
        <v>50</v>
      </c>
      <c r="E4" s="2" t="s">
        <v>36</v>
      </c>
      <c r="F4" s="12" t="str">
        <f t="shared" si="0"/>
        <v>511|2º Mesário</v>
      </c>
      <c r="G4" s="13" t="s">
        <v>51</v>
      </c>
      <c r="H4" s="2" t="s">
        <v>38</v>
      </c>
      <c r="I4" s="2" t="s">
        <v>39</v>
      </c>
      <c r="J4" s="2" t="s">
        <v>40</v>
      </c>
      <c r="K4" s="2" t="s">
        <v>52</v>
      </c>
      <c r="L4" s="2" t="s">
        <v>53</v>
      </c>
      <c r="M4" s="2" t="s">
        <v>36</v>
      </c>
      <c r="N4" s="2" t="s">
        <v>43</v>
      </c>
      <c r="O4" s="2" t="s">
        <v>54</v>
      </c>
    </row>
    <row r="5" spans="1:15" x14ac:dyDescent="0.25">
      <c r="A5" s="10">
        <v>511</v>
      </c>
      <c r="B5" s="2" t="s">
        <v>55</v>
      </c>
      <c r="C5" s="11" t="s">
        <v>56</v>
      </c>
      <c r="D5" s="2" t="s">
        <v>57</v>
      </c>
      <c r="E5" s="2" t="s">
        <v>36</v>
      </c>
      <c r="F5" s="12" t="str">
        <f t="shared" si="0"/>
        <v>511|1º Secretário</v>
      </c>
      <c r="G5" s="13" t="s">
        <v>58</v>
      </c>
      <c r="H5" s="2" t="s">
        <v>38</v>
      </c>
      <c r="I5" s="2" t="s">
        <v>39</v>
      </c>
      <c r="J5" s="2" t="s">
        <v>40</v>
      </c>
      <c r="K5" s="2" t="s">
        <v>41</v>
      </c>
      <c r="L5" s="2" t="s">
        <v>42</v>
      </c>
      <c r="M5" s="2" t="s">
        <v>36</v>
      </c>
      <c r="N5" s="2" t="s">
        <v>43</v>
      </c>
      <c r="O5" s="2"/>
    </row>
    <row r="6" spans="1:15" x14ac:dyDescent="0.25">
      <c r="A6" s="10">
        <v>512</v>
      </c>
      <c r="B6" s="2" t="s">
        <v>33</v>
      </c>
      <c r="C6" s="11" t="s">
        <v>59</v>
      </c>
      <c r="D6" s="2" t="s">
        <v>60</v>
      </c>
      <c r="E6" s="2" t="s">
        <v>61</v>
      </c>
      <c r="F6" s="12" t="str">
        <f>A6&amp;"|"&amp;B6</f>
        <v>512|Presidente</v>
      </c>
      <c r="G6" s="13" t="s">
        <v>62</v>
      </c>
      <c r="H6" s="2" t="s">
        <v>63</v>
      </c>
      <c r="I6" s="2" t="s">
        <v>64</v>
      </c>
      <c r="J6" s="2" t="s">
        <v>65</v>
      </c>
      <c r="K6" s="2" t="s">
        <v>66</v>
      </c>
      <c r="L6" s="2" t="s">
        <v>67</v>
      </c>
      <c r="M6" s="2" t="s">
        <v>61</v>
      </c>
      <c r="N6" s="2" t="s">
        <v>43</v>
      </c>
      <c r="O6" s="2"/>
    </row>
    <row r="7" spans="1:15" x14ac:dyDescent="0.25">
      <c r="A7" s="10">
        <v>512</v>
      </c>
      <c r="B7" s="2" t="s">
        <v>44</v>
      </c>
      <c r="C7" s="11" t="s">
        <v>68</v>
      </c>
      <c r="D7" s="2" t="s">
        <v>69</v>
      </c>
      <c r="E7" s="2" t="s">
        <v>36</v>
      </c>
      <c r="F7" s="12" t="str">
        <f>A7&amp;"|"&amp;B7</f>
        <v>512|1º Mesário</v>
      </c>
      <c r="G7" s="13" t="s">
        <v>70</v>
      </c>
      <c r="H7" s="2" t="s">
        <v>38</v>
      </c>
      <c r="I7" s="2" t="s">
        <v>39</v>
      </c>
      <c r="J7" s="2" t="s">
        <v>40</v>
      </c>
      <c r="K7" s="2" t="s">
        <v>41</v>
      </c>
      <c r="L7" s="2" t="s">
        <v>42</v>
      </c>
      <c r="M7" s="2" t="s">
        <v>36</v>
      </c>
      <c r="N7" s="2" t="s">
        <v>43</v>
      </c>
      <c r="O7" s="2"/>
    </row>
    <row r="8" spans="1:15" x14ac:dyDescent="0.25">
      <c r="A8" s="10">
        <v>512</v>
      </c>
      <c r="B8" s="2" t="s">
        <v>48</v>
      </c>
      <c r="C8" s="11" t="s">
        <v>71</v>
      </c>
      <c r="D8" s="2" t="s">
        <v>72</v>
      </c>
      <c r="E8" s="2" t="s">
        <v>36</v>
      </c>
      <c r="F8" s="12" t="str">
        <f>A8&amp;"|"&amp;B8</f>
        <v>512|2º Mesário</v>
      </c>
      <c r="G8" s="13" t="s">
        <v>73</v>
      </c>
      <c r="H8" s="2" t="s">
        <v>38</v>
      </c>
      <c r="I8" s="2" t="s">
        <v>39</v>
      </c>
      <c r="J8" s="2" t="s">
        <v>40</v>
      </c>
      <c r="K8" s="2" t="s">
        <v>41</v>
      </c>
      <c r="L8" s="2" t="s">
        <v>42</v>
      </c>
      <c r="M8" s="2" t="s">
        <v>36</v>
      </c>
      <c r="N8" s="2" t="s">
        <v>43</v>
      </c>
      <c r="O8" s="2"/>
    </row>
    <row r="9" spans="1:15" x14ac:dyDescent="0.25">
      <c r="A9" s="10">
        <v>512</v>
      </c>
      <c r="B9" s="2" t="s">
        <v>55</v>
      </c>
      <c r="C9" s="11" t="s">
        <v>74</v>
      </c>
      <c r="D9" s="2" t="s">
        <v>75</v>
      </c>
      <c r="E9" s="2" t="s">
        <v>36</v>
      </c>
      <c r="F9" s="12" t="str">
        <f>A9&amp;"|"&amp;B9</f>
        <v>512|1º Secretário</v>
      </c>
      <c r="G9" s="13" t="s">
        <v>76</v>
      </c>
      <c r="H9" s="2" t="s">
        <v>38</v>
      </c>
      <c r="I9" s="2" t="s">
        <v>39</v>
      </c>
      <c r="J9" s="2" t="s">
        <v>40</v>
      </c>
      <c r="K9" s="2" t="s">
        <v>66</v>
      </c>
      <c r="L9" s="2" t="s">
        <v>67</v>
      </c>
      <c r="M9" s="2" t="s">
        <v>61</v>
      </c>
      <c r="N9" s="2" t="s">
        <v>4</v>
      </c>
      <c r="O9" s="2" t="s">
        <v>77</v>
      </c>
    </row>
    <row r="10" spans="1:15" x14ac:dyDescent="0.25">
      <c r="A10" s="10">
        <v>513</v>
      </c>
      <c r="B10" s="2" t="s">
        <v>33</v>
      </c>
      <c r="C10" s="11" t="s">
        <v>78</v>
      </c>
      <c r="D10" s="2" t="s">
        <v>79</v>
      </c>
      <c r="E10" s="2" t="s">
        <v>36</v>
      </c>
      <c r="F10" s="12" t="str">
        <f>A10&amp;"|"&amp;B10</f>
        <v>513|Presidente</v>
      </c>
      <c r="G10" s="13" t="s">
        <v>80</v>
      </c>
      <c r="H10" s="2" t="s">
        <v>38</v>
      </c>
      <c r="I10" s="2" t="s">
        <v>64</v>
      </c>
      <c r="J10" s="2" t="s">
        <v>40</v>
      </c>
      <c r="K10" s="2" t="s">
        <v>66</v>
      </c>
      <c r="L10" s="2" t="s">
        <v>67</v>
      </c>
      <c r="M10" s="2" t="s">
        <v>61</v>
      </c>
      <c r="N10" s="2" t="s">
        <v>4</v>
      </c>
      <c r="O10" s="2"/>
    </row>
    <row r="11" spans="1:15" x14ac:dyDescent="0.25">
      <c r="A11" s="10">
        <v>513</v>
      </c>
      <c r="B11" s="2" t="s">
        <v>44</v>
      </c>
      <c r="C11" s="11" t="s">
        <v>81</v>
      </c>
      <c r="D11" s="2" t="s">
        <v>82</v>
      </c>
      <c r="E11" s="2" t="s">
        <v>36</v>
      </c>
      <c r="F11" s="12" t="str">
        <f>A11&amp;"|"&amp;B11</f>
        <v>513|1º Mesário</v>
      </c>
      <c r="G11" s="13" t="s">
        <v>83</v>
      </c>
      <c r="H11" s="2" t="s">
        <v>38</v>
      </c>
      <c r="I11" s="2" t="s">
        <v>39</v>
      </c>
      <c r="J11" s="2" t="s">
        <v>40</v>
      </c>
      <c r="K11" s="2" t="s">
        <v>41</v>
      </c>
      <c r="L11" s="2" t="s">
        <v>42</v>
      </c>
      <c r="M11" s="2" t="s">
        <v>36</v>
      </c>
      <c r="N11" s="2" t="s">
        <v>43</v>
      </c>
      <c r="O11" s="2"/>
    </row>
    <row r="12" spans="1:15" x14ac:dyDescent="0.25">
      <c r="A12" s="10">
        <v>513</v>
      </c>
      <c r="B12" s="2" t="s">
        <v>48</v>
      </c>
      <c r="C12" s="11" t="s">
        <v>84</v>
      </c>
      <c r="D12" s="2" t="s">
        <v>85</v>
      </c>
      <c r="E12" s="2" t="s">
        <v>36</v>
      </c>
      <c r="F12" s="12" t="str">
        <f>A12&amp;"|"&amp;B12</f>
        <v>513|2º Mesário</v>
      </c>
      <c r="G12" s="13" t="s">
        <v>86</v>
      </c>
      <c r="H12" s="2" t="s">
        <v>38</v>
      </c>
      <c r="I12" s="2" t="s">
        <v>64</v>
      </c>
      <c r="J12" s="2" t="s">
        <v>40</v>
      </c>
      <c r="K12" s="2" t="s">
        <v>41</v>
      </c>
      <c r="L12" s="2" t="s">
        <v>42</v>
      </c>
      <c r="M12" s="2" t="s">
        <v>36</v>
      </c>
      <c r="N12" s="2" t="s">
        <v>43</v>
      </c>
      <c r="O12" s="2" t="s">
        <v>87</v>
      </c>
    </row>
    <row r="13" spans="1:15" x14ac:dyDescent="0.25">
      <c r="A13" s="10">
        <v>513</v>
      </c>
      <c r="B13" s="2" t="s">
        <v>55</v>
      </c>
      <c r="C13" s="11" t="s">
        <v>88</v>
      </c>
      <c r="D13" s="2" t="s">
        <v>89</v>
      </c>
      <c r="E13" s="2" t="s">
        <v>61</v>
      </c>
      <c r="F13" s="12" t="str">
        <f>A13&amp;"|"&amp;B13</f>
        <v>513|1º Secretário</v>
      </c>
      <c r="G13" s="13" t="s">
        <v>90</v>
      </c>
      <c r="H13" s="2" t="s">
        <v>63</v>
      </c>
      <c r="I13" s="2" t="s">
        <v>64</v>
      </c>
      <c r="J13" s="2" t="s">
        <v>65</v>
      </c>
      <c r="K13" s="2" t="s">
        <v>66</v>
      </c>
      <c r="L13" s="2" t="s">
        <v>67</v>
      </c>
      <c r="M13" s="2" t="s">
        <v>61</v>
      </c>
      <c r="N13" s="2" t="s">
        <v>43</v>
      </c>
      <c r="O13" s="2"/>
    </row>
    <row r="14" spans="1:15" x14ac:dyDescent="0.25">
      <c r="A14" s="10">
        <v>517</v>
      </c>
      <c r="B14" s="2" t="s">
        <v>33</v>
      </c>
      <c r="C14" s="11" t="s">
        <v>91</v>
      </c>
      <c r="D14" s="2" t="s">
        <v>92</v>
      </c>
      <c r="E14" s="2" t="s">
        <v>36</v>
      </c>
      <c r="F14" s="12" t="str">
        <f>A14&amp;"|"&amp;B14</f>
        <v>517|Presidente</v>
      </c>
      <c r="G14" s="13" t="s">
        <v>93</v>
      </c>
      <c r="H14" s="2" t="s">
        <v>38</v>
      </c>
      <c r="I14" s="2" t="s">
        <v>39</v>
      </c>
      <c r="J14" s="2" t="s">
        <v>40</v>
      </c>
      <c r="K14" s="2" t="s">
        <v>41</v>
      </c>
      <c r="L14" s="2" t="s">
        <v>67</v>
      </c>
      <c r="M14" s="2" t="s">
        <v>36</v>
      </c>
      <c r="N14" s="2" t="s">
        <v>43</v>
      </c>
      <c r="O14" s="2"/>
    </row>
    <row r="15" spans="1:15" x14ac:dyDescent="0.25">
      <c r="A15" s="10">
        <v>517</v>
      </c>
      <c r="B15" s="2" t="s">
        <v>44</v>
      </c>
      <c r="C15" s="11" t="s">
        <v>94</v>
      </c>
      <c r="D15" s="2" t="s">
        <v>95</v>
      </c>
      <c r="E15" s="2" t="s">
        <v>36</v>
      </c>
      <c r="F15" s="12" t="str">
        <f>A15&amp;"|"&amp;B15</f>
        <v>517|1º Mesário</v>
      </c>
      <c r="G15" s="13" t="s">
        <v>96</v>
      </c>
      <c r="H15" s="2" t="s">
        <v>63</v>
      </c>
      <c r="I15" s="2" t="s">
        <v>64</v>
      </c>
      <c r="J15" s="2" t="s">
        <v>65</v>
      </c>
      <c r="K15" s="2" t="s">
        <v>41</v>
      </c>
      <c r="L15" s="2" t="s">
        <v>42</v>
      </c>
      <c r="M15" s="2" t="s">
        <v>36</v>
      </c>
      <c r="N15" s="2" t="s">
        <v>43</v>
      </c>
      <c r="O15" s="2" t="s">
        <v>87</v>
      </c>
    </row>
    <row r="16" spans="1:15" x14ac:dyDescent="0.25">
      <c r="A16" s="10">
        <v>517</v>
      </c>
      <c r="B16" s="2" t="s">
        <v>48</v>
      </c>
      <c r="C16" s="11" t="s">
        <v>97</v>
      </c>
      <c r="D16" s="2" t="s">
        <v>98</v>
      </c>
      <c r="E16" s="2" t="s">
        <v>36</v>
      </c>
      <c r="F16" s="12" t="str">
        <f>A16&amp;"|"&amp;B16</f>
        <v>517|2º Mesário</v>
      </c>
      <c r="G16" s="13" t="s">
        <v>99</v>
      </c>
      <c r="H16" s="2" t="s">
        <v>63</v>
      </c>
      <c r="I16" s="2" t="s">
        <v>64</v>
      </c>
      <c r="J16" s="2" t="s">
        <v>65</v>
      </c>
      <c r="K16" s="2" t="s">
        <v>41</v>
      </c>
      <c r="L16" s="2" t="s">
        <v>42</v>
      </c>
      <c r="M16" s="2" t="s">
        <v>36</v>
      </c>
      <c r="N16" s="2" t="s">
        <v>43</v>
      </c>
      <c r="O16" s="2" t="s">
        <v>87</v>
      </c>
    </row>
    <row r="17" spans="1:15" x14ac:dyDescent="0.25">
      <c r="A17" s="10">
        <v>517</v>
      </c>
      <c r="B17" s="2" t="s">
        <v>55</v>
      </c>
      <c r="C17" s="11" t="s">
        <v>100</v>
      </c>
      <c r="D17" s="2" t="s">
        <v>101</v>
      </c>
      <c r="E17" s="2" t="s">
        <v>36</v>
      </c>
      <c r="F17" s="12" t="str">
        <f>A17&amp;"|"&amp;B17</f>
        <v>517|1º Secretário</v>
      </c>
      <c r="G17" s="13" t="s">
        <v>102</v>
      </c>
      <c r="H17" s="2" t="s">
        <v>38</v>
      </c>
      <c r="I17" s="2" t="s">
        <v>39</v>
      </c>
      <c r="J17" s="2" t="s">
        <v>40</v>
      </c>
      <c r="K17" s="2" t="s">
        <v>41</v>
      </c>
      <c r="L17" s="2" t="s">
        <v>42</v>
      </c>
      <c r="M17" s="2" t="s">
        <v>36</v>
      </c>
      <c r="N17" s="2" t="s">
        <v>43</v>
      </c>
      <c r="O17" s="2"/>
    </row>
    <row r="18" spans="1:15" x14ac:dyDescent="0.25">
      <c r="A18" s="10">
        <v>1160</v>
      </c>
      <c r="B18" s="2" t="s">
        <v>33</v>
      </c>
      <c r="C18" s="11" t="s">
        <v>103</v>
      </c>
      <c r="D18" s="2" t="s">
        <v>104</v>
      </c>
      <c r="E18" s="2" t="s">
        <v>40</v>
      </c>
      <c r="F18" s="12" t="str">
        <f>A18&amp;"|"&amp;B18</f>
        <v>1160|Presidente</v>
      </c>
      <c r="G18" s="13" t="s">
        <v>105</v>
      </c>
      <c r="H18" s="2" t="s">
        <v>38</v>
      </c>
      <c r="I18" s="2" t="s">
        <v>39</v>
      </c>
      <c r="J18" s="2" t="s">
        <v>40</v>
      </c>
      <c r="K18" s="2" t="s">
        <v>41</v>
      </c>
      <c r="L18" s="2" t="s">
        <v>42</v>
      </c>
      <c r="M18" s="2" t="s">
        <v>36</v>
      </c>
      <c r="N18" s="2"/>
      <c r="O18" s="2"/>
    </row>
    <row r="19" spans="1:15" x14ac:dyDescent="0.25">
      <c r="A19" s="10">
        <v>1160</v>
      </c>
      <c r="B19" s="2" t="s">
        <v>44</v>
      </c>
      <c r="C19" s="11" t="s">
        <v>107</v>
      </c>
      <c r="D19" s="2" t="s">
        <v>108</v>
      </c>
      <c r="E19" s="2" t="s">
        <v>40</v>
      </c>
      <c r="F19" s="12" t="str">
        <f>A19&amp;"|"&amp;B19</f>
        <v>1160|1º Mesário</v>
      </c>
      <c r="G19" s="13" t="s">
        <v>109</v>
      </c>
      <c r="H19" s="2" t="s">
        <v>38</v>
      </c>
      <c r="I19" s="2" t="s">
        <v>39</v>
      </c>
      <c r="J19" s="2" t="s">
        <v>40</v>
      </c>
      <c r="K19" s="2" t="s">
        <v>41</v>
      </c>
      <c r="L19" s="2" t="s">
        <v>42</v>
      </c>
      <c r="M19" s="2" t="s">
        <v>36</v>
      </c>
      <c r="N19" s="2"/>
      <c r="O19" s="2"/>
    </row>
    <row r="20" spans="1:15" x14ac:dyDescent="0.25">
      <c r="A20" s="10">
        <v>1160</v>
      </c>
      <c r="B20" s="2" t="s">
        <v>48</v>
      </c>
      <c r="C20" s="11" t="s">
        <v>110</v>
      </c>
      <c r="D20" s="2" t="s">
        <v>111</v>
      </c>
      <c r="E20" s="2" t="s">
        <v>40</v>
      </c>
      <c r="F20" s="12" t="str">
        <f>A20&amp;"|"&amp;B20</f>
        <v>1160|2º Mesário</v>
      </c>
      <c r="G20" s="13" t="s">
        <v>112</v>
      </c>
      <c r="H20" s="2" t="s">
        <v>38</v>
      </c>
      <c r="I20" s="2" t="s">
        <v>39</v>
      </c>
      <c r="J20" s="2" t="s">
        <v>40</v>
      </c>
      <c r="K20" s="2" t="s">
        <v>41</v>
      </c>
      <c r="L20" s="2" t="s">
        <v>42</v>
      </c>
      <c r="M20" s="2" t="s">
        <v>36</v>
      </c>
      <c r="N20" s="2"/>
      <c r="O20" s="2"/>
    </row>
    <row r="21" spans="1:15" x14ac:dyDescent="0.25">
      <c r="A21" s="10">
        <v>1160</v>
      </c>
      <c r="B21" s="2" t="s">
        <v>55</v>
      </c>
      <c r="C21" s="11" t="s">
        <v>113</v>
      </c>
      <c r="D21" s="2" t="s">
        <v>114</v>
      </c>
      <c r="E21" s="2" t="s">
        <v>40</v>
      </c>
      <c r="F21" s="12" t="str">
        <f>A21&amp;"|"&amp;B21</f>
        <v>1160|1º Secretário</v>
      </c>
      <c r="G21" s="13" t="s">
        <v>115</v>
      </c>
      <c r="H21" s="2" t="s">
        <v>38</v>
      </c>
      <c r="I21" s="2" t="s">
        <v>39</v>
      </c>
      <c r="J21" s="2" t="s">
        <v>40</v>
      </c>
      <c r="K21" s="2" t="s">
        <v>116</v>
      </c>
      <c r="L21" s="2" t="s">
        <v>117</v>
      </c>
      <c r="M21" s="2" t="s">
        <v>36</v>
      </c>
      <c r="N21" s="2"/>
      <c r="O21" s="2" t="s">
        <v>54</v>
      </c>
    </row>
    <row r="22" spans="1:15" x14ac:dyDescent="0.25">
      <c r="A22" s="10">
        <v>1352</v>
      </c>
      <c r="B22" s="2" t="s">
        <v>33</v>
      </c>
      <c r="C22" s="11" t="s">
        <v>118</v>
      </c>
      <c r="D22" s="2" t="s">
        <v>119</v>
      </c>
      <c r="E22" s="2" t="s">
        <v>36</v>
      </c>
      <c r="F22" s="12" t="str">
        <f>A22&amp;"|"&amp;B22</f>
        <v>1352|Presidente</v>
      </c>
      <c r="G22" s="13" t="s">
        <v>120</v>
      </c>
      <c r="H22" s="2" t="s">
        <v>38</v>
      </c>
      <c r="I22" s="2" t="s">
        <v>39</v>
      </c>
      <c r="J22" s="2" t="s">
        <v>40</v>
      </c>
      <c r="K22" s="2" t="s">
        <v>41</v>
      </c>
      <c r="L22" s="2" t="s">
        <v>42</v>
      </c>
      <c r="M22" s="2" t="s">
        <v>36</v>
      </c>
      <c r="N22" s="2" t="s">
        <v>43</v>
      </c>
      <c r="O22" s="2"/>
    </row>
    <row r="23" spans="1:15" x14ac:dyDescent="0.25">
      <c r="A23" s="10">
        <v>1352</v>
      </c>
      <c r="B23" s="2" t="s">
        <v>44</v>
      </c>
      <c r="C23" s="11" t="s">
        <v>121</v>
      </c>
      <c r="D23" s="2" t="s">
        <v>122</v>
      </c>
      <c r="E23" s="2" t="s">
        <v>36</v>
      </c>
      <c r="F23" s="12" t="str">
        <f>A23&amp;"|"&amp;B23</f>
        <v>1352|1º Mesário</v>
      </c>
      <c r="G23" s="13" t="s">
        <v>123</v>
      </c>
      <c r="H23" s="2" t="s">
        <v>38</v>
      </c>
      <c r="I23" s="2" t="s">
        <v>39</v>
      </c>
      <c r="J23" s="2" t="s">
        <v>40</v>
      </c>
      <c r="K23" s="2" t="s">
        <v>41</v>
      </c>
      <c r="L23" s="2" t="s">
        <v>42</v>
      </c>
      <c r="M23" s="2" t="s">
        <v>36</v>
      </c>
      <c r="N23" s="2" t="s">
        <v>43</v>
      </c>
      <c r="O23" s="2"/>
    </row>
    <row r="24" spans="1:15" x14ac:dyDescent="0.25">
      <c r="A24" s="10">
        <v>1352</v>
      </c>
      <c r="B24" s="2" t="s">
        <v>48</v>
      </c>
      <c r="C24" s="11" t="s">
        <v>124</v>
      </c>
      <c r="D24" s="2" t="s">
        <v>125</v>
      </c>
      <c r="E24" s="2" t="s">
        <v>36</v>
      </c>
      <c r="F24" s="12" t="str">
        <f>A24&amp;"|"&amp;B24</f>
        <v>1352|2º Mesário</v>
      </c>
      <c r="G24" s="13" t="s">
        <v>126</v>
      </c>
      <c r="H24" s="2" t="s">
        <v>38</v>
      </c>
      <c r="I24" s="2" t="s">
        <v>39</v>
      </c>
      <c r="J24" s="2" t="s">
        <v>40</v>
      </c>
      <c r="K24" s="2" t="s">
        <v>41</v>
      </c>
      <c r="L24" s="2" t="s">
        <v>127</v>
      </c>
      <c r="M24" s="2" t="s">
        <v>36</v>
      </c>
      <c r="N24" s="2" t="s">
        <v>43</v>
      </c>
      <c r="O24" s="2" t="s">
        <v>54</v>
      </c>
    </row>
    <row r="25" spans="1:15" x14ac:dyDescent="0.25">
      <c r="A25" s="10">
        <v>1352</v>
      </c>
      <c r="B25" s="2" t="s">
        <v>55</v>
      </c>
      <c r="C25" s="11" t="s">
        <v>128</v>
      </c>
      <c r="D25" s="2" t="s">
        <v>129</v>
      </c>
      <c r="E25" s="2" t="s">
        <v>36</v>
      </c>
      <c r="F25" s="12" t="str">
        <f>A25&amp;"|"&amp;B25</f>
        <v>1352|1º Secretário</v>
      </c>
      <c r="G25" s="13" t="s">
        <v>130</v>
      </c>
      <c r="H25" s="2" t="s">
        <v>38</v>
      </c>
      <c r="I25" s="2" t="s">
        <v>39</v>
      </c>
      <c r="J25" s="2" t="s">
        <v>40</v>
      </c>
      <c r="K25" s="2" t="s">
        <v>41</v>
      </c>
      <c r="L25" s="2" t="s">
        <v>42</v>
      </c>
      <c r="M25" s="2" t="s">
        <v>36</v>
      </c>
      <c r="N25" s="2" t="s">
        <v>43</v>
      </c>
      <c r="O25" s="2"/>
    </row>
    <row r="26" spans="1:15" x14ac:dyDescent="0.25">
      <c r="A26" s="10">
        <v>3054</v>
      </c>
      <c r="B26" s="2" t="s">
        <v>33</v>
      </c>
      <c r="C26" s="11" t="s">
        <v>131</v>
      </c>
      <c r="D26" s="2" t="s">
        <v>132</v>
      </c>
      <c r="E26" s="2" t="s">
        <v>36</v>
      </c>
      <c r="F26" s="12" t="str">
        <f>A26&amp;"|"&amp;B26</f>
        <v>3054|Presidente</v>
      </c>
      <c r="G26" s="13" t="s">
        <v>133</v>
      </c>
      <c r="H26" s="2" t="s">
        <v>38</v>
      </c>
      <c r="I26" s="2" t="s">
        <v>39</v>
      </c>
      <c r="J26" s="2" t="s">
        <v>40</v>
      </c>
      <c r="K26" s="2" t="s">
        <v>41</v>
      </c>
      <c r="L26" s="2" t="s">
        <v>42</v>
      </c>
      <c r="M26" s="2" t="s">
        <v>36</v>
      </c>
      <c r="N26" s="2" t="s">
        <v>43</v>
      </c>
      <c r="O26" s="2"/>
    </row>
    <row r="27" spans="1:15" x14ac:dyDescent="0.25">
      <c r="A27" s="10">
        <v>3054</v>
      </c>
      <c r="B27" s="2" t="s">
        <v>44</v>
      </c>
      <c r="C27" s="11" t="s">
        <v>134</v>
      </c>
      <c r="D27" s="2" t="s">
        <v>135</v>
      </c>
      <c r="E27" s="2" t="s">
        <v>36</v>
      </c>
      <c r="F27" s="12" t="str">
        <f>A27&amp;"|"&amp;B27</f>
        <v>3054|1º Mesário</v>
      </c>
      <c r="G27" s="13" t="s">
        <v>136</v>
      </c>
      <c r="H27" s="2" t="s">
        <v>38</v>
      </c>
      <c r="I27" s="2" t="s">
        <v>39</v>
      </c>
      <c r="J27" s="2" t="s">
        <v>40</v>
      </c>
      <c r="K27" s="2" t="s">
        <v>41</v>
      </c>
      <c r="L27" s="2" t="s">
        <v>42</v>
      </c>
      <c r="M27" s="2" t="s">
        <v>36</v>
      </c>
      <c r="N27" s="2" t="s">
        <v>43</v>
      </c>
      <c r="O27" s="2"/>
    </row>
    <row r="28" spans="1:15" x14ac:dyDescent="0.25">
      <c r="A28" s="10">
        <v>3054</v>
      </c>
      <c r="B28" s="2" t="s">
        <v>48</v>
      </c>
      <c r="C28" s="11" t="s">
        <v>137</v>
      </c>
      <c r="D28" s="2" t="s">
        <v>138</v>
      </c>
      <c r="E28" s="2" t="s">
        <v>61</v>
      </c>
      <c r="F28" s="12" t="str">
        <f>A28&amp;"|"&amp;B28</f>
        <v>3054|2º Mesário</v>
      </c>
      <c r="G28" s="13" t="s">
        <v>139</v>
      </c>
      <c r="H28" s="2" t="s">
        <v>38</v>
      </c>
      <c r="I28" s="2" t="s">
        <v>39</v>
      </c>
      <c r="J28" s="2" t="s">
        <v>40</v>
      </c>
      <c r="K28" s="2" t="s">
        <v>66</v>
      </c>
      <c r="L28" s="2" t="s">
        <v>67</v>
      </c>
      <c r="M28" s="2" t="s">
        <v>61</v>
      </c>
      <c r="N28" s="2" t="s">
        <v>43</v>
      </c>
      <c r="O28" s="2" t="s">
        <v>77</v>
      </c>
    </row>
    <row r="29" spans="1:15" x14ac:dyDescent="0.25">
      <c r="A29" s="10">
        <v>3054</v>
      </c>
      <c r="B29" s="2" t="s">
        <v>55</v>
      </c>
      <c r="C29" s="11" t="s">
        <v>140</v>
      </c>
      <c r="D29" s="2" t="s">
        <v>141</v>
      </c>
      <c r="E29" s="2" t="s">
        <v>61</v>
      </c>
      <c r="F29" s="12" t="str">
        <f>A29&amp;"|"&amp;B29</f>
        <v>3054|1º Secretário</v>
      </c>
      <c r="G29" s="13" t="s">
        <v>142</v>
      </c>
      <c r="H29" s="2" t="s">
        <v>38</v>
      </c>
      <c r="I29" s="2" t="s">
        <v>39</v>
      </c>
      <c r="J29" s="2" t="s">
        <v>40</v>
      </c>
      <c r="K29" s="2" t="s">
        <v>41</v>
      </c>
      <c r="L29" s="2" t="s">
        <v>42</v>
      </c>
      <c r="M29" s="2" t="s">
        <v>36</v>
      </c>
      <c r="N29" s="2"/>
      <c r="O29" s="2"/>
    </row>
    <row r="30" spans="1:15" x14ac:dyDescent="0.25">
      <c r="A30" s="10">
        <v>3078</v>
      </c>
      <c r="B30" s="2" t="s">
        <v>33</v>
      </c>
      <c r="C30" s="11" t="s">
        <v>143</v>
      </c>
      <c r="D30" s="2" t="s">
        <v>144</v>
      </c>
      <c r="E30" s="2" t="s">
        <v>36</v>
      </c>
      <c r="F30" s="12" t="str">
        <f>A30&amp;"|"&amp;B30</f>
        <v>3078|Presidente</v>
      </c>
      <c r="G30" s="13" t="s">
        <v>145</v>
      </c>
      <c r="H30" s="2" t="s">
        <v>38</v>
      </c>
      <c r="I30" s="2" t="s">
        <v>39</v>
      </c>
      <c r="J30" s="2" t="s">
        <v>40</v>
      </c>
      <c r="K30" s="2" t="s">
        <v>41</v>
      </c>
      <c r="L30" s="2" t="s">
        <v>42</v>
      </c>
      <c r="M30" s="2" t="s">
        <v>36</v>
      </c>
      <c r="N30" s="2" t="s">
        <v>43</v>
      </c>
      <c r="O30" s="2"/>
    </row>
    <row r="31" spans="1:15" x14ac:dyDescent="0.25">
      <c r="A31" s="10">
        <v>3078</v>
      </c>
      <c r="B31" s="2" t="s">
        <v>44</v>
      </c>
      <c r="C31" s="11" t="s">
        <v>146</v>
      </c>
      <c r="D31" s="2" t="s">
        <v>147</v>
      </c>
      <c r="E31" s="2" t="s">
        <v>36</v>
      </c>
      <c r="F31" s="12" t="str">
        <f>A31&amp;"|"&amp;B31</f>
        <v>3078|1º Mesário</v>
      </c>
      <c r="G31" s="13" t="s">
        <v>148</v>
      </c>
      <c r="H31" s="2" t="s">
        <v>38</v>
      </c>
      <c r="I31" s="2" t="s">
        <v>39</v>
      </c>
      <c r="J31" s="2" t="s">
        <v>40</v>
      </c>
      <c r="K31" s="2" t="s">
        <v>41</v>
      </c>
      <c r="L31" s="2" t="s">
        <v>42</v>
      </c>
      <c r="M31" s="2" t="s">
        <v>36</v>
      </c>
      <c r="N31" s="2" t="s">
        <v>43</v>
      </c>
      <c r="O31" s="2"/>
    </row>
    <row r="32" spans="1:15" x14ac:dyDescent="0.25">
      <c r="A32" s="10">
        <v>3078</v>
      </c>
      <c r="B32" s="2" t="s">
        <v>48</v>
      </c>
      <c r="C32" s="11" t="s">
        <v>149</v>
      </c>
      <c r="D32" s="2" t="s">
        <v>150</v>
      </c>
      <c r="E32" s="2" t="s">
        <v>36</v>
      </c>
      <c r="F32" s="12" t="str">
        <f>A32&amp;"|"&amp;B32</f>
        <v>3078|2º Mesário</v>
      </c>
      <c r="G32" s="13" t="s">
        <v>151</v>
      </c>
      <c r="H32" s="2" t="s">
        <v>38</v>
      </c>
      <c r="I32" s="2" t="s">
        <v>39</v>
      </c>
      <c r="J32" s="2" t="s">
        <v>40</v>
      </c>
      <c r="K32" s="2" t="s">
        <v>41</v>
      </c>
      <c r="L32" s="2" t="s">
        <v>42</v>
      </c>
      <c r="M32" s="2" t="s">
        <v>36</v>
      </c>
      <c r="N32" s="2" t="s">
        <v>43</v>
      </c>
      <c r="O32" s="2"/>
    </row>
    <row r="33" spans="1:15" x14ac:dyDescent="0.25">
      <c r="A33" s="10">
        <v>3078</v>
      </c>
      <c r="B33" s="2" t="s">
        <v>55</v>
      </c>
      <c r="C33" s="11" t="s">
        <v>152</v>
      </c>
      <c r="D33" s="2" t="s">
        <v>153</v>
      </c>
      <c r="E33" s="2" t="s">
        <v>36</v>
      </c>
      <c r="F33" s="12" t="str">
        <f>A33&amp;"|"&amp;B33</f>
        <v>3078|1º Secretário</v>
      </c>
      <c r="G33" s="13" t="s">
        <v>154</v>
      </c>
      <c r="H33" s="2" t="s">
        <v>38</v>
      </c>
      <c r="I33" s="2" t="s">
        <v>39</v>
      </c>
      <c r="J33" s="2" t="s">
        <v>40</v>
      </c>
      <c r="K33" s="2" t="s">
        <v>41</v>
      </c>
      <c r="L33" s="2" t="s">
        <v>42</v>
      </c>
      <c r="M33" s="2" t="s">
        <v>36</v>
      </c>
      <c r="N33" s="2" t="s">
        <v>43</v>
      </c>
      <c r="O33" s="2"/>
    </row>
    <row r="34" spans="1:15" x14ac:dyDescent="0.25">
      <c r="A34" s="10">
        <v>3108</v>
      </c>
      <c r="B34" s="2" t="s">
        <v>33</v>
      </c>
      <c r="C34" s="11" t="s">
        <v>155</v>
      </c>
      <c r="D34" s="2" t="s">
        <v>156</v>
      </c>
      <c r="E34" s="2" t="s">
        <v>36</v>
      </c>
      <c r="F34" s="12" t="str">
        <f>A34&amp;"|"&amp;B34</f>
        <v>3108|Presidente</v>
      </c>
      <c r="G34" s="13" t="s">
        <v>157</v>
      </c>
      <c r="H34" s="2" t="s">
        <v>38</v>
      </c>
      <c r="I34" s="2" t="s">
        <v>39</v>
      </c>
      <c r="J34" s="2" t="s">
        <v>40</v>
      </c>
      <c r="K34" s="2" t="s">
        <v>41</v>
      </c>
      <c r="L34" s="2" t="s">
        <v>67</v>
      </c>
      <c r="M34" s="2" t="s">
        <v>36</v>
      </c>
      <c r="N34" s="2" t="s">
        <v>43</v>
      </c>
      <c r="O34" s="2"/>
    </row>
    <row r="35" spans="1:15" x14ac:dyDescent="0.25">
      <c r="A35" s="10">
        <v>3108</v>
      </c>
      <c r="B35" s="2" t="s">
        <v>44</v>
      </c>
      <c r="C35" s="11" t="s">
        <v>158</v>
      </c>
      <c r="D35" s="2" t="s">
        <v>159</v>
      </c>
      <c r="E35" s="2" t="s">
        <v>36</v>
      </c>
      <c r="F35" s="12" t="str">
        <f>A35&amp;"|"&amp;B35</f>
        <v>3108|1º Mesário</v>
      </c>
      <c r="G35" s="13" t="s">
        <v>160</v>
      </c>
      <c r="H35" s="2" t="s">
        <v>38</v>
      </c>
      <c r="I35" s="2" t="s">
        <v>39</v>
      </c>
      <c r="J35" s="2" t="s">
        <v>40</v>
      </c>
      <c r="K35" s="2" t="s">
        <v>66</v>
      </c>
      <c r="L35" s="2" t="s">
        <v>67</v>
      </c>
      <c r="M35" s="2" t="s">
        <v>61</v>
      </c>
      <c r="N35" s="2"/>
      <c r="O35" s="2" t="s">
        <v>77</v>
      </c>
    </row>
    <row r="36" spans="1:15" x14ac:dyDescent="0.25">
      <c r="A36" s="10">
        <v>3108</v>
      </c>
      <c r="B36" s="2" t="s">
        <v>48</v>
      </c>
      <c r="C36" s="11" t="s">
        <v>161</v>
      </c>
      <c r="D36" s="2" t="s">
        <v>162</v>
      </c>
      <c r="E36" s="2" t="s">
        <v>36</v>
      </c>
      <c r="F36" s="12" t="str">
        <f>A36&amp;"|"&amp;B36</f>
        <v>3108|2º Mesário</v>
      </c>
      <c r="G36" s="13" t="s">
        <v>163</v>
      </c>
      <c r="H36" s="2" t="s">
        <v>38</v>
      </c>
      <c r="I36" s="2" t="s">
        <v>39</v>
      </c>
      <c r="J36" s="2" t="s">
        <v>40</v>
      </c>
      <c r="K36" s="2" t="s">
        <v>41</v>
      </c>
      <c r="L36" s="2" t="s">
        <v>42</v>
      </c>
      <c r="M36" s="2" t="s">
        <v>36</v>
      </c>
      <c r="N36" s="2" t="s">
        <v>43</v>
      </c>
      <c r="O36" s="2"/>
    </row>
    <row r="37" spans="1:15" x14ac:dyDescent="0.25">
      <c r="A37" s="10">
        <v>3108</v>
      </c>
      <c r="B37" s="2" t="s">
        <v>55</v>
      </c>
      <c r="C37" s="11" t="s">
        <v>164</v>
      </c>
      <c r="D37" s="2" t="s">
        <v>165</v>
      </c>
      <c r="E37" s="2" t="s">
        <v>36</v>
      </c>
      <c r="F37" s="12" t="str">
        <f>A37&amp;"|"&amp;B37</f>
        <v>3108|1º Secretário</v>
      </c>
      <c r="G37" s="13" t="s">
        <v>166</v>
      </c>
      <c r="H37" s="2" t="s">
        <v>38</v>
      </c>
      <c r="I37" s="2" t="s">
        <v>39</v>
      </c>
      <c r="J37" s="2" t="s">
        <v>40</v>
      </c>
      <c r="K37" s="2" t="s">
        <v>41</v>
      </c>
      <c r="L37" s="2" t="s">
        <v>42</v>
      </c>
      <c r="M37" s="2" t="s">
        <v>36</v>
      </c>
      <c r="N37" s="2" t="s">
        <v>43</v>
      </c>
      <c r="O37" s="2"/>
    </row>
    <row r="38" spans="1:15" x14ac:dyDescent="0.25">
      <c r="A38" s="10">
        <v>3142</v>
      </c>
      <c r="B38" s="2" t="s">
        <v>33</v>
      </c>
      <c r="C38" s="11" t="s">
        <v>167</v>
      </c>
      <c r="D38" s="2" t="s">
        <v>168</v>
      </c>
      <c r="E38" s="2" t="s">
        <v>36</v>
      </c>
      <c r="F38" s="12" t="str">
        <f>A38&amp;"|"&amp;B38</f>
        <v>3142|Presidente</v>
      </c>
      <c r="G38" s="13" t="s">
        <v>169</v>
      </c>
      <c r="H38" s="2" t="s">
        <v>38</v>
      </c>
      <c r="I38" s="2" t="s">
        <v>39</v>
      </c>
      <c r="J38" s="2" t="s">
        <v>40</v>
      </c>
      <c r="K38" s="2" t="s">
        <v>41</v>
      </c>
      <c r="L38" s="2" t="s">
        <v>42</v>
      </c>
      <c r="M38" s="2" t="s">
        <v>36</v>
      </c>
      <c r="N38" s="2" t="s">
        <v>43</v>
      </c>
      <c r="O38" s="2"/>
    </row>
    <row r="39" spans="1:15" x14ac:dyDescent="0.25">
      <c r="A39" s="10">
        <v>3142</v>
      </c>
      <c r="B39" s="2" t="s">
        <v>44</v>
      </c>
      <c r="C39" s="11" t="s">
        <v>170</v>
      </c>
      <c r="D39" s="2" t="s">
        <v>171</v>
      </c>
      <c r="E39" s="2" t="s">
        <v>36</v>
      </c>
      <c r="F39" s="12" t="str">
        <f>A39&amp;"|"&amp;B39</f>
        <v>3142|1º Mesário</v>
      </c>
      <c r="G39" s="13" t="s">
        <v>172</v>
      </c>
      <c r="H39" s="2" t="s">
        <v>38</v>
      </c>
      <c r="I39" s="2" t="s">
        <v>39</v>
      </c>
      <c r="J39" s="2" t="s">
        <v>40</v>
      </c>
      <c r="K39" s="2" t="s">
        <v>41</v>
      </c>
      <c r="L39" s="2" t="s">
        <v>42</v>
      </c>
      <c r="M39" s="2" t="s">
        <v>36</v>
      </c>
      <c r="N39" s="2" t="s">
        <v>43</v>
      </c>
      <c r="O39" s="2"/>
    </row>
    <row r="40" spans="1:15" x14ac:dyDescent="0.25">
      <c r="A40" s="10">
        <v>3142</v>
      </c>
      <c r="B40" s="2" t="s">
        <v>48</v>
      </c>
      <c r="C40" s="11" t="s">
        <v>173</v>
      </c>
      <c r="D40" s="2" t="s">
        <v>174</v>
      </c>
      <c r="E40" s="2" t="s">
        <v>36</v>
      </c>
      <c r="F40" s="12" t="str">
        <f>A40&amp;"|"&amp;B40</f>
        <v>3142|2º Mesário</v>
      </c>
      <c r="G40" s="13" t="s">
        <v>175</v>
      </c>
      <c r="H40" s="2" t="s">
        <v>38</v>
      </c>
      <c r="I40" s="2" t="s">
        <v>39</v>
      </c>
      <c r="J40" s="2" t="s">
        <v>40</v>
      </c>
      <c r="K40" s="2" t="s">
        <v>41</v>
      </c>
      <c r="L40" s="2" t="s">
        <v>42</v>
      </c>
      <c r="M40" s="2" t="s">
        <v>36</v>
      </c>
      <c r="N40" s="2" t="s">
        <v>43</v>
      </c>
      <c r="O40" s="2"/>
    </row>
    <row r="41" spans="1:15" x14ac:dyDescent="0.25">
      <c r="A41" s="10">
        <v>3142</v>
      </c>
      <c r="B41" s="2" t="s">
        <v>55</v>
      </c>
      <c r="C41" s="11" t="s">
        <v>176</v>
      </c>
      <c r="D41" s="2" t="s">
        <v>177</v>
      </c>
      <c r="E41" s="2" t="s">
        <v>36</v>
      </c>
      <c r="F41" s="12" t="str">
        <f>A41&amp;"|"&amp;B41</f>
        <v>3142|1º Secretário</v>
      </c>
      <c r="G41" s="13" t="s">
        <v>178</v>
      </c>
      <c r="H41" s="2" t="s">
        <v>38</v>
      </c>
      <c r="I41" s="2" t="s">
        <v>39</v>
      </c>
      <c r="J41" s="2" t="s">
        <v>40</v>
      </c>
      <c r="K41" s="2" t="s">
        <v>66</v>
      </c>
      <c r="L41" s="2" t="s">
        <v>67</v>
      </c>
      <c r="M41" s="2" t="s">
        <v>61</v>
      </c>
      <c r="N41" s="2"/>
      <c r="O41" s="2" t="s">
        <v>77</v>
      </c>
    </row>
    <row r="42" spans="1:15" x14ac:dyDescent="0.25">
      <c r="A42" s="10">
        <v>3161</v>
      </c>
      <c r="B42" s="2" t="s">
        <v>33</v>
      </c>
      <c r="C42" s="11" t="s">
        <v>179</v>
      </c>
      <c r="D42" s="2" t="s">
        <v>180</v>
      </c>
      <c r="E42" s="2" t="s">
        <v>61</v>
      </c>
      <c r="F42" s="12" t="str">
        <f>A42&amp;"|"&amp;B42</f>
        <v>3161|Presidente</v>
      </c>
      <c r="G42" s="13" t="s">
        <v>181</v>
      </c>
      <c r="H42" s="2" t="s">
        <v>63</v>
      </c>
      <c r="I42" s="2" t="s">
        <v>64</v>
      </c>
      <c r="J42" s="2" t="s">
        <v>65</v>
      </c>
      <c r="K42" s="2" t="s">
        <v>66</v>
      </c>
      <c r="L42" s="2" t="s">
        <v>67</v>
      </c>
      <c r="M42" s="2" t="s">
        <v>61</v>
      </c>
      <c r="N42" s="2" t="s">
        <v>43</v>
      </c>
      <c r="O42" s="2"/>
    </row>
    <row r="43" spans="1:15" x14ac:dyDescent="0.25">
      <c r="A43" s="10">
        <v>3161</v>
      </c>
      <c r="B43" s="2" t="s">
        <v>44</v>
      </c>
      <c r="C43" s="11" t="s">
        <v>182</v>
      </c>
      <c r="D43" s="2" t="s">
        <v>183</v>
      </c>
      <c r="E43" s="2" t="s">
        <v>36</v>
      </c>
      <c r="F43" s="12" t="str">
        <f>A43&amp;"|"&amp;B43</f>
        <v>3161|1º Mesário</v>
      </c>
      <c r="G43" s="13" t="s">
        <v>184</v>
      </c>
      <c r="H43" s="2" t="s">
        <v>38</v>
      </c>
      <c r="I43" s="2" t="s">
        <v>64</v>
      </c>
      <c r="J43" s="2" t="s">
        <v>40</v>
      </c>
      <c r="K43" s="2" t="s">
        <v>41</v>
      </c>
      <c r="L43" s="2" t="s">
        <v>67</v>
      </c>
      <c r="M43" s="2" t="s">
        <v>36</v>
      </c>
      <c r="N43" s="2" t="s">
        <v>43</v>
      </c>
      <c r="O43" s="2" t="s">
        <v>87</v>
      </c>
    </row>
    <row r="44" spans="1:15" x14ac:dyDescent="0.25">
      <c r="A44" s="10">
        <v>3161</v>
      </c>
      <c r="B44" s="2" t="s">
        <v>48</v>
      </c>
      <c r="C44" s="11" t="s">
        <v>185</v>
      </c>
      <c r="D44" s="2" t="s">
        <v>186</v>
      </c>
      <c r="E44" s="2" t="s">
        <v>36</v>
      </c>
      <c r="F44" s="12" t="str">
        <f>A44&amp;"|"&amp;B44</f>
        <v>3161|2º Mesário</v>
      </c>
      <c r="G44" s="13" t="s">
        <v>187</v>
      </c>
      <c r="H44" s="2" t="s">
        <v>38</v>
      </c>
      <c r="I44" s="2" t="s">
        <v>39</v>
      </c>
      <c r="J44" s="2" t="s">
        <v>40</v>
      </c>
      <c r="K44" s="2" t="s">
        <v>41</v>
      </c>
      <c r="L44" s="2" t="s">
        <v>188</v>
      </c>
      <c r="M44" s="2" t="s">
        <v>36</v>
      </c>
      <c r="N44" s="2" t="s">
        <v>43</v>
      </c>
      <c r="O44" s="2"/>
    </row>
    <row r="45" spans="1:15" x14ac:dyDescent="0.25">
      <c r="A45" s="10">
        <v>3161</v>
      </c>
      <c r="B45" s="2" t="s">
        <v>55</v>
      </c>
      <c r="C45" s="11" t="s">
        <v>189</v>
      </c>
      <c r="D45" s="2" t="s">
        <v>190</v>
      </c>
      <c r="E45" s="2" t="s">
        <v>36</v>
      </c>
      <c r="F45" s="12" t="str">
        <f>A45&amp;"|"&amp;B45</f>
        <v>3161|1º Secretário</v>
      </c>
      <c r="G45" s="13" t="s">
        <v>191</v>
      </c>
      <c r="H45" s="2" t="s">
        <v>38</v>
      </c>
      <c r="I45" s="2" t="s">
        <v>39</v>
      </c>
      <c r="J45" s="2" t="s">
        <v>40</v>
      </c>
      <c r="K45" s="2" t="s">
        <v>41</v>
      </c>
      <c r="L45" s="2" t="s">
        <v>42</v>
      </c>
      <c r="M45" s="2" t="s">
        <v>36</v>
      </c>
      <c r="N45" s="2" t="s">
        <v>43</v>
      </c>
      <c r="O45" s="2"/>
    </row>
    <row r="46" spans="1:15" x14ac:dyDescent="0.25">
      <c r="A46" s="10">
        <v>3179</v>
      </c>
      <c r="B46" s="2" t="s">
        <v>33</v>
      </c>
      <c r="C46" s="11" t="s">
        <v>192</v>
      </c>
      <c r="D46" s="2" t="s">
        <v>193</v>
      </c>
      <c r="E46" s="2" t="s">
        <v>36</v>
      </c>
      <c r="F46" s="12" t="str">
        <f>A46&amp;"|"&amp;B46</f>
        <v>3179|Presidente</v>
      </c>
      <c r="G46" s="13" t="s">
        <v>194</v>
      </c>
      <c r="H46" s="2" t="s">
        <v>38</v>
      </c>
      <c r="I46" s="2" t="s">
        <v>39</v>
      </c>
      <c r="J46" s="2" t="s">
        <v>40</v>
      </c>
      <c r="K46" s="2" t="s">
        <v>41</v>
      </c>
      <c r="L46" s="2" t="s">
        <v>42</v>
      </c>
      <c r="M46" s="2" t="s">
        <v>36</v>
      </c>
      <c r="N46" s="2" t="s">
        <v>43</v>
      </c>
      <c r="O46" s="2"/>
    </row>
    <row r="47" spans="1:15" x14ac:dyDescent="0.25">
      <c r="A47" s="10">
        <v>3179</v>
      </c>
      <c r="B47" s="2" t="s">
        <v>44</v>
      </c>
      <c r="C47" s="11" t="s">
        <v>195</v>
      </c>
      <c r="D47" s="2" t="s">
        <v>196</v>
      </c>
      <c r="E47" s="2" t="s">
        <v>61</v>
      </c>
      <c r="F47" s="12" t="str">
        <f>A47&amp;"|"&amp;B47</f>
        <v>3179|1º Mesário</v>
      </c>
      <c r="G47" s="13" t="s">
        <v>197</v>
      </c>
      <c r="H47" s="2" t="s">
        <v>38</v>
      </c>
      <c r="I47" s="2" t="s">
        <v>39</v>
      </c>
      <c r="J47" s="2" t="s">
        <v>40</v>
      </c>
      <c r="K47" s="2" t="s">
        <v>66</v>
      </c>
      <c r="L47" s="2" t="s">
        <v>67</v>
      </c>
      <c r="M47" s="2" t="s">
        <v>61</v>
      </c>
      <c r="N47" s="2" t="s">
        <v>43</v>
      </c>
      <c r="O47" s="2" t="s">
        <v>77</v>
      </c>
    </row>
    <row r="48" spans="1:15" x14ac:dyDescent="0.25">
      <c r="A48" s="10">
        <v>3179</v>
      </c>
      <c r="B48" s="2" t="s">
        <v>48</v>
      </c>
      <c r="C48" s="11" t="s">
        <v>198</v>
      </c>
      <c r="D48" s="2" t="s">
        <v>199</v>
      </c>
      <c r="E48" s="2" t="s">
        <v>61</v>
      </c>
      <c r="F48" s="12" t="str">
        <f>A48&amp;"|"&amp;B48</f>
        <v>3179|2º Mesário</v>
      </c>
      <c r="G48" s="13" t="s">
        <v>200</v>
      </c>
      <c r="H48" s="2" t="s">
        <v>38</v>
      </c>
      <c r="I48" s="2" t="s">
        <v>201</v>
      </c>
      <c r="J48" s="2" t="s">
        <v>40</v>
      </c>
      <c r="K48" s="2" t="s">
        <v>66</v>
      </c>
      <c r="L48" s="2" t="s">
        <v>67</v>
      </c>
      <c r="M48" s="2" t="s">
        <v>61</v>
      </c>
      <c r="N48" s="2" t="s">
        <v>43</v>
      </c>
      <c r="O48" s="2"/>
    </row>
    <row r="49" spans="1:15" x14ac:dyDescent="0.25">
      <c r="A49" s="10">
        <v>3179</v>
      </c>
      <c r="B49" s="2" t="s">
        <v>55</v>
      </c>
      <c r="C49" s="11" t="s">
        <v>202</v>
      </c>
      <c r="D49" s="2" t="s">
        <v>203</v>
      </c>
      <c r="E49" s="2" t="s">
        <v>36</v>
      </c>
      <c r="F49" s="12" t="str">
        <f>A49&amp;"|"&amp;B49</f>
        <v>3179|1º Secretário</v>
      </c>
      <c r="G49" s="13" t="s">
        <v>204</v>
      </c>
      <c r="H49" s="2" t="s">
        <v>38</v>
      </c>
      <c r="I49" s="2" t="s">
        <v>39</v>
      </c>
      <c r="J49" s="2" t="s">
        <v>40</v>
      </c>
      <c r="K49" s="2" t="s">
        <v>41</v>
      </c>
      <c r="L49" s="2" t="s">
        <v>42</v>
      </c>
      <c r="M49" s="2" t="s">
        <v>36</v>
      </c>
      <c r="N49" s="2" t="s">
        <v>43</v>
      </c>
      <c r="O49" s="2"/>
    </row>
    <row r="50" spans="1:15" x14ac:dyDescent="0.25">
      <c r="A50" s="10">
        <v>3216</v>
      </c>
      <c r="B50" s="2" t="s">
        <v>33</v>
      </c>
      <c r="C50" s="11" t="s">
        <v>205</v>
      </c>
      <c r="D50" s="2" t="s">
        <v>206</v>
      </c>
      <c r="E50" s="2" t="s">
        <v>36</v>
      </c>
      <c r="F50" s="12" t="str">
        <f>A50&amp;"|"&amp;B50</f>
        <v>3216|Presidente</v>
      </c>
      <c r="G50" s="13" t="s">
        <v>207</v>
      </c>
      <c r="H50" s="2" t="s">
        <v>38</v>
      </c>
      <c r="I50" s="2" t="s">
        <v>39</v>
      </c>
      <c r="J50" s="2" t="s">
        <v>40</v>
      </c>
      <c r="K50" s="2" t="s">
        <v>41</v>
      </c>
      <c r="L50" s="2" t="s">
        <v>67</v>
      </c>
      <c r="M50" s="2" t="s">
        <v>36</v>
      </c>
      <c r="N50" s="2" t="s">
        <v>43</v>
      </c>
      <c r="O50" s="2"/>
    </row>
    <row r="51" spans="1:15" x14ac:dyDescent="0.25">
      <c r="A51" s="10">
        <v>3216</v>
      </c>
      <c r="B51" s="2" t="s">
        <v>44</v>
      </c>
      <c r="C51" s="11" t="s">
        <v>208</v>
      </c>
      <c r="D51" s="2" t="s">
        <v>209</v>
      </c>
      <c r="E51" s="2" t="s">
        <v>36</v>
      </c>
      <c r="F51" s="12" t="str">
        <f>A51&amp;"|"&amp;B51</f>
        <v>3216|1º Mesário</v>
      </c>
      <c r="G51" s="13" t="s">
        <v>210</v>
      </c>
      <c r="H51" s="2" t="s">
        <v>38</v>
      </c>
      <c r="I51" s="2" t="s">
        <v>39</v>
      </c>
      <c r="J51" s="2" t="s">
        <v>40</v>
      </c>
      <c r="K51" s="2" t="s">
        <v>211</v>
      </c>
      <c r="L51" s="2" t="s">
        <v>212</v>
      </c>
      <c r="M51" s="2" t="s">
        <v>36</v>
      </c>
      <c r="N51" s="2" t="s">
        <v>43</v>
      </c>
      <c r="O51" s="2" t="s">
        <v>54</v>
      </c>
    </row>
    <row r="52" spans="1:15" x14ac:dyDescent="0.25">
      <c r="A52" s="10">
        <v>3216</v>
      </c>
      <c r="B52" s="2" t="s">
        <v>48</v>
      </c>
      <c r="C52" s="11" t="s">
        <v>213</v>
      </c>
      <c r="D52" s="2" t="s">
        <v>214</v>
      </c>
      <c r="E52" s="2" t="s">
        <v>36</v>
      </c>
      <c r="F52" s="12" t="str">
        <f>A52&amp;"|"&amp;B52</f>
        <v>3216|2º Mesário</v>
      </c>
      <c r="G52" s="13" t="s">
        <v>215</v>
      </c>
      <c r="H52" s="2" t="s">
        <v>38</v>
      </c>
      <c r="I52" s="2" t="s">
        <v>39</v>
      </c>
      <c r="J52" s="2" t="s">
        <v>40</v>
      </c>
      <c r="K52" s="2" t="s">
        <v>41</v>
      </c>
      <c r="L52" s="2" t="s">
        <v>216</v>
      </c>
      <c r="M52" s="2" t="s">
        <v>36</v>
      </c>
      <c r="N52" s="2" t="s">
        <v>43</v>
      </c>
      <c r="O52" s="2"/>
    </row>
    <row r="53" spans="1:15" x14ac:dyDescent="0.25">
      <c r="A53" s="10">
        <v>3216</v>
      </c>
      <c r="B53" s="2" t="s">
        <v>55</v>
      </c>
      <c r="C53" s="11" t="s">
        <v>217</v>
      </c>
      <c r="D53" s="2" t="s">
        <v>218</v>
      </c>
      <c r="E53" s="2" t="s">
        <v>36</v>
      </c>
      <c r="F53" s="12" t="str">
        <f>A53&amp;"|"&amp;B53</f>
        <v>3216|1º Secretário</v>
      </c>
      <c r="G53" s="13" t="s">
        <v>219</v>
      </c>
      <c r="H53" s="2" t="s">
        <v>38</v>
      </c>
      <c r="I53" s="2" t="s">
        <v>39</v>
      </c>
      <c r="J53" s="2" t="s">
        <v>40</v>
      </c>
      <c r="K53" s="2" t="s">
        <v>41</v>
      </c>
      <c r="L53" s="2" t="s">
        <v>42</v>
      </c>
      <c r="M53" s="2" t="s">
        <v>36</v>
      </c>
      <c r="N53" s="2" t="s">
        <v>43</v>
      </c>
      <c r="O53" s="2"/>
    </row>
    <row r="54" spans="1:15" x14ac:dyDescent="0.25">
      <c r="A54" s="10">
        <v>3229</v>
      </c>
      <c r="B54" s="2" t="s">
        <v>33</v>
      </c>
      <c r="C54" s="11" t="s">
        <v>220</v>
      </c>
      <c r="D54" s="2" t="s">
        <v>221</v>
      </c>
      <c r="E54" s="2" t="s">
        <v>36</v>
      </c>
      <c r="F54" s="12" t="str">
        <f>A54&amp;"|"&amp;B54</f>
        <v>3229|Presidente</v>
      </c>
      <c r="G54" s="13" t="s">
        <v>222</v>
      </c>
      <c r="H54" s="2" t="s">
        <v>38</v>
      </c>
      <c r="I54" s="2" t="s">
        <v>39</v>
      </c>
      <c r="J54" s="2" t="s">
        <v>40</v>
      </c>
      <c r="K54" s="2" t="s">
        <v>41</v>
      </c>
      <c r="L54" s="2" t="s">
        <v>223</v>
      </c>
      <c r="M54" s="2" t="s">
        <v>36</v>
      </c>
      <c r="N54" s="2" t="s">
        <v>43</v>
      </c>
      <c r="O54" s="2"/>
    </row>
    <row r="55" spans="1:15" x14ac:dyDescent="0.25">
      <c r="A55" s="10">
        <v>3229</v>
      </c>
      <c r="B55" s="2" t="s">
        <v>44</v>
      </c>
      <c r="C55" s="11" t="s">
        <v>224</v>
      </c>
      <c r="D55" s="2" t="s">
        <v>225</v>
      </c>
      <c r="E55" s="2" t="s">
        <v>36</v>
      </c>
      <c r="F55" s="12" t="str">
        <f>A55&amp;"|"&amp;B55</f>
        <v>3229|1º Mesário</v>
      </c>
      <c r="G55" s="13" t="s">
        <v>226</v>
      </c>
      <c r="H55" s="2" t="s">
        <v>38</v>
      </c>
      <c r="I55" s="2" t="s">
        <v>39</v>
      </c>
      <c r="J55" s="2" t="s">
        <v>40</v>
      </c>
      <c r="K55" s="2" t="s">
        <v>41</v>
      </c>
      <c r="L55" s="2" t="s">
        <v>42</v>
      </c>
      <c r="M55" s="2" t="s">
        <v>36</v>
      </c>
      <c r="N55" s="2" t="s">
        <v>43</v>
      </c>
      <c r="O55" s="2"/>
    </row>
    <row r="56" spans="1:15" x14ac:dyDescent="0.25">
      <c r="A56" s="10">
        <v>3229</v>
      </c>
      <c r="B56" s="2" t="s">
        <v>48</v>
      </c>
      <c r="C56" s="11" t="s">
        <v>227</v>
      </c>
      <c r="D56" s="2" t="s">
        <v>228</v>
      </c>
      <c r="E56" s="2" t="s">
        <v>36</v>
      </c>
      <c r="F56" s="12" t="str">
        <f>A56&amp;"|"&amp;B56</f>
        <v>3229|2º Mesário</v>
      </c>
      <c r="G56" s="13" t="s">
        <v>229</v>
      </c>
      <c r="H56" s="2" t="s">
        <v>38</v>
      </c>
      <c r="I56" s="2" t="s">
        <v>39</v>
      </c>
      <c r="J56" s="2" t="s">
        <v>40</v>
      </c>
      <c r="K56" s="2" t="s">
        <v>41</v>
      </c>
      <c r="L56" s="2" t="s">
        <v>42</v>
      </c>
      <c r="M56" s="2" t="s">
        <v>36</v>
      </c>
      <c r="N56" s="2" t="s">
        <v>43</v>
      </c>
      <c r="O56" s="2"/>
    </row>
    <row r="57" spans="1:15" x14ac:dyDescent="0.25">
      <c r="A57" s="10">
        <v>3229</v>
      </c>
      <c r="B57" s="2" t="s">
        <v>55</v>
      </c>
      <c r="C57" s="11" t="s">
        <v>230</v>
      </c>
      <c r="D57" s="2" t="s">
        <v>231</v>
      </c>
      <c r="E57" s="2" t="s">
        <v>36</v>
      </c>
      <c r="F57" s="12" t="str">
        <f>A57&amp;"|"&amp;B57</f>
        <v>3229|1º Secretário</v>
      </c>
      <c r="G57" s="13" t="s">
        <v>232</v>
      </c>
      <c r="H57" s="2" t="s">
        <v>38</v>
      </c>
      <c r="I57" s="2" t="s">
        <v>39</v>
      </c>
      <c r="J57" s="2" t="s">
        <v>40</v>
      </c>
      <c r="K57" s="2" t="s">
        <v>41</v>
      </c>
      <c r="L57" s="2" t="s">
        <v>42</v>
      </c>
      <c r="M57" s="2" t="s">
        <v>36</v>
      </c>
      <c r="N57" s="2" t="s">
        <v>43</v>
      </c>
      <c r="O57" s="2"/>
    </row>
    <row r="58" spans="1:15" x14ac:dyDescent="0.25">
      <c r="A58" s="10">
        <v>3245</v>
      </c>
      <c r="B58" s="2" t="s">
        <v>33</v>
      </c>
      <c r="C58" s="11" t="s">
        <v>233</v>
      </c>
      <c r="D58" s="2" t="s">
        <v>234</v>
      </c>
      <c r="E58" s="2" t="s">
        <v>40</v>
      </c>
      <c r="F58" s="12" t="str">
        <f>A58&amp;"|"&amp;B58</f>
        <v>3245|Presidente</v>
      </c>
      <c r="G58" s="13" t="s">
        <v>235</v>
      </c>
      <c r="H58" s="2" t="s">
        <v>38</v>
      </c>
      <c r="I58" s="2" t="s">
        <v>39</v>
      </c>
      <c r="J58" s="2" t="s">
        <v>40</v>
      </c>
      <c r="K58" s="2" t="s">
        <v>41</v>
      </c>
      <c r="L58" s="2" t="s">
        <v>67</v>
      </c>
      <c r="M58" s="2" t="s">
        <v>36</v>
      </c>
      <c r="N58" s="2"/>
      <c r="O58" s="2" t="s">
        <v>236</v>
      </c>
    </row>
    <row r="59" spans="1:15" x14ac:dyDescent="0.25">
      <c r="A59" s="10">
        <v>3245</v>
      </c>
      <c r="B59" s="2" t="s">
        <v>44</v>
      </c>
      <c r="C59" s="14" t="s">
        <v>237</v>
      </c>
      <c r="D59" s="2" t="s">
        <v>238</v>
      </c>
      <c r="E59" s="2" t="s">
        <v>40</v>
      </c>
      <c r="F59" s="12" t="str">
        <f>A59&amp;"|"&amp;B59</f>
        <v>3245|1º Mesário</v>
      </c>
      <c r="G59" s="13" t="s">
        <v>239</v>
      </c>
      <c r="H59" s="2" t="s">
        <v>38</v>
      </c>
      <c r="I59" s="2" t="s">
        <v>39</v>
      </c>
      <c r="J59" s="2" t="s">
        <v>40</v>
      </c>
      <c r="K59" s="2" t="s">
        <v>41</v>
      </c>
      <c r="L59" s="2" t="s">
        <v>240</v>
      </c>
      <c r="M59" s="2" t="s">
        <v>36</v>
      </c>
      <c r="N59" s="2"/>
      <c r="O59" s="2" t="s">
        <v>236</v>
      </c>
    </row>
    <row r="60" spans="1:15" x14ac:dyDescent="0.25">
      <c r="A60" s="10">
        <v>3245</v>
      </c>
      <c r="B60" s="2" t="s">
        <v>48</v>
      </c>
      <c r="C60" s="14" t="s">
        <v>237</v>
      </c>
      <c r="D60" s="2" t="s">
        <v>241</v>
      </c>
      <c r="E60" s="2" t="s">
        <v>40</v>
      </c>
      <c r="F60" s="12" t="str">
        <f>A60&amp;"|"&amp;B60</f>
        <v>3245|2º Mesário</v>
      </c>
      <c r="G60" s="13" t="s">
        <v>242</v>
      </c>
      <c r="H60" s="2" t="s">
        <v>38</v>
      </c>
      <c r="I60" s="2" t="s">
        <v>39</v>
      </c>
      <c r="J60" s="2" t="s">
        <v>40</v>
      </c>
      <c r="K60" s="2" t="s">
        <v>41</v>
      </c>
      <c r="L60" s="2" t="s">
        <v>240</v>
      </c>
      <c r="M60" s="2" t="s">
        <v>36</v>
      </c>
      <c r="N60" s="2"/>
      <c r="O60" s="2" t="s">
        <v>236</v>
      </c>
    </row>
    <row r="61" spans="1:15" x14ac:dyDescent="0.25">
      <c r="A61" s="10">
        <v>3245</v>
      </c>
      <c r="B61" s="2" t="s">
        <v>55</v>
      </c>
      <c r="C61" s="14" t="s">
        <v>243</v>
      </c>
      <c r="D61" s="2" t="s">
        <v>244</v>
      </c>
      <c r="E61" s="2" t="s">
        <v>65</v>
      </c>
      <c r="F61" s="12" t="str">
        <f>A61&amp;"|"&amp;B61</f>
        <v>3245|1º Secretário</v>
      </c>
      <c r="G61" s="13" t="s">
        <v>245</v>
      </c>
      <c r="H61" s="2" t="s">
        <v>63</v>
      </c>
      <c r="I61" s="2" t="s">
        <v>64</v>
      </c>
      <c r="J61" s="2" t="s">
        <v>65</v>
      </c>
      <c r="K61" s="2" t="s">
        <v>66</v>
      </c>
      <c r="L61" s="2" t="s">
        <v>67</v>
      </c>
      <c r="M61" s="2" t="s">
        <v>61</v>
      </c>
      <c r="N61" s="2"/>
      <c r="O61" s="2"/>
    </row>
    <row r="62" spans="1:15" x14ac:dyDescent="0.25">
      <c r="A62" s="10">
        <v>3302</v>
      </c>
      <c r="B62" s="2" t="s">
        <v>33</v>
      </c>
      <c r="C62" s="11" t="s">
        <v>247</v>
      </c>
      <c r="D62" s="2" t="s">
        <v>248</v>
      </c>
      <c r="E62" s="2" t="s">
        <v>36</v>
      </c>
      <c r="F62" s="12" t="str">
        <f>A62&amp;"|"&amp;B62</f>
        <v>3302|Presidente</v>
      </c>
      <c r="G62" s="13" t="s">
        <v>249</v>
      </c>
      <c r="H62" s="2" t="s">
        <v>38</v>
      </c>
      <c r="I62" s="2" t="s">
        <v>39</v>
      </c>
      <c r="J62" s="2" t="s">
        <v>40</v>
      </c>
      <c r="K62" s="2" t="s">
        <v>41</v>
      </c>
      <c r="L62" s="2" t="s">
        <v>42</v>
      </c>
      <c r="M62" s="2" t="s">
        <v>36</v>
      </c>
      <c r="N62" s="2" t="s">
        <v>43</v>
      </c>
      <c r="O62" s="2"/>
    </row>
    <row r="63" spans="1:15" x14ac:dyDescent="0.25">
      <c r="A63" s="10">
        <v>3302</v>
      </c>
      <c r="B63" s="2" t="s">
        <v>44</v>
      </c>
      <c r="C63" s="11" t="s">
        <v>250</v>
      </c>
      <c r="D63" s="2" t="s">
        <v>251</v>
      </c>
      <c r="E63" s="2" t="s">
        <v>36</v>
      </c>
      <c r="F63" s="12" t="str">
        <f>A63&amp;"|"&amp;B63</f>
        <v>3302|1º Mesário</v>
      </c>
      <c r="G63" s="13" t="s">
        <v>252</v>
      </c>
      <c r="H63" s="2" t="s">
        <v>38</v>
      </c>
      <c r="I63" s="2" t="s">
        <v>39</v>
      </c>
      <c r="J63" s="2" t="s">
        <v>40</v>
      </c>
      <c r="K63" s="2" t="s">
        <v>41</v>
      </c>
      <c r="L63" s="2" t="s">
        <v>42</v>
      </c>
      <c r="M63" s="2" t="s">
        <v>36</v>
      </c>
      <c r="N63" s="2" t="s">
        <v>43</v>
      </c>
      <c r="O63" s="2"/>
    </row>
    <row r="64" spans="1:15" x14ac:dyDescent="0.25">
      <c r="A64" s="10">
        <v>3302</v>
      </c>
      <c r="B64" s="2" t="s">
        <v>48</v>
      </c>
      <c r="C64" s="11" t="s">
        <v>253</v>
      </c>
      <c r="D64" s="2" t="s">
        <v>254</v>
      </c>
      <c r="E64" s="2" t="s">
        <v>36</v>
      </c>
      <c r="F64" s="12" t="str">
        <f>A64&amp;"|"&amp;B64</f>
        <v>3302|2º Mesário</v>
      </c>
      <c r="G64" s="13" t="s">
        <v>255</v>
      </c>
      <c r="H64" s="2" t="s">
        <v>38</v>
      </c>
      <c r="I64" s="2" t="s">
        <v>39</v>
      </c>
      <c r="J64" s="2" t="s">
        <v>40</v>
      </c>
      <c r="K64" s="2" t="s">
        <v>41</v>
      </c>
      <c r="L64" s="2" t="s">
        <v>42</v>
      </c>
      <c r="M64" s="2" t="s">
        <v>36</v>
      </c>
      <c r="N64" s="2" t="s">
        <v>43</v>
      </c>
      <c r="O64" s="2"/>
    </row>
    <row r="65" spans="1:15" x14ac:dyDescent="0.25">
      <c r="A65" s="10">
        <v>3302</v>
      </c>
      <c r="B65" s="2" t="s">
        <v>55</v>
      </c>
      <c r="C65" s="11" t="s">
        <v>256</v>
      </c>
      <c r="D65" s="2" t="s">
        <v>257</v>
      </c>
      <c r="E65" s="2" t="s">
        <v>36</v>
      </c>
      <c r="F65" s="12" t="str">
        <f>A65&amp;"|"&amp;B65</f>
        <v>3302|1º Secretário</v>
      </c>
      <c r="G65" s="13" t="s">
        <v>258</v>
      </c>
      <c r="H65" s="2" t="s">
        <v>38</v>
      </c>
      <c r="I65" s="2" t="s">
        <v>39</v>
      </c>
      <c r="J65" s="2" t="s">
        <v>40</v>
      </c>
      <c r="K65" s="2" t="s">
        <v>41</v>
      </c>
      <c r="L65" s="2" t="s">
        <v>42</v>
      </c>
      <c r="M65" s="2" t="s">
        <v>36</v>
      </c>
      <c r="N65" s="2" t="s">
        <v>43</v>
      </c>
      <c r="O65" s="2"/>
    </row>
    <row r="66" spans="1:15" x14ac:dyDescent="0.25">
      <c r="A66" s="10">
        <v>3305</v>
      </c>
      <c r="B66" s="2" t="s">
        <v>33</v>
      </c>
      <c r="C66" s="14" t="s">
        <v>237</v>
      </c>
      <c r="D66" s="2" t="s">
        <v>259</v>
      </c>
      <c r="E66" s="2" t="s">
        <v>40</v>
      </c>
      <c r="F66" s="12" t="str">
        <f>A66&amp;"|"&amp;B66</f>
        <v>3305|Presidente</v>
      </c>
      <c r="G66" s="13" t="s">
        <v>260</v>
      </c>
      <c r="H66" s="2" t="s">
        <v>38</v>
      </c>
      <c r="I66" s="2" t="s">
        <v>39</v>
      </c>
      <c r="J66" s="2" t="s">
        <v>40</v>
      </c>
      <c r="K66" s="2" t="s">
        <v>66</v>
      </c>
      <c r="L66" s="2" t="s">
        <v>67</v>
      </c>
      <c r="M66" s="2" t="s">
        <v>61</v>
      </c>
      <c r="N66" s="2"/>
      <c r="O66" s="2" t="s">
        <v>77</v>
      </c>
    </row>
    <row r="67" spans="1:15" x14ac:dyDescent="0.25">
      <c r="A67" s="10">
        <v>3305</v>
      </c>
      <c r="B67" s="2" t="s">
        <v>44</v>
      </c>
      <c r="C67" s="11" t="s">
        <v>261</v>
      </c>
      <c r="D67" s="2" t="s">
        <v>262</v>
      </c>
      <c r="E67" s="2" t="s">
        <v>40</v>
      </c>
      <c r="F67" s="12" t="str">
        <f>A67&amp;"|"&amp;B67</f>
        <v>3305|1º Mesário</v>
      </c>
      <c r="G67" s="13" t="s">
        <v>263</v>
      </c>
      <c r="H67" s="2" t="s">
        <v>38</v>
      </c>
      <c r="I67" s="2" t="s">
        <v>39</v>
      </c>
      <c r="J67" s="2" t="s">
        <v>40</v>
      </c>
      <c r="K67" s="2" t="s">
        <v>41</v>
      </c>
      <c r="L67" s="2" t="s">
        <v>42</v>
      </c>
      <c r="M67" s="2" t="s">
        <v>36</v>
      </c>
      <c r="N67" s="2"/>
      <c r="O67" s="2"/>
    </row>
    <row r="68" spans="1:15" x14ac:dyDescent="0.25">
      <c r="A68" s="10">
        <v>3305</v>
      </c>
      <c r="B68" s="2" t="s">
        <v>48</v>
      </c>
      <c r="C68" s="11" t="s">
        <v>264</v>
      </c>
      <c r="D68" s="2" t="s">
        <v>265</v>
      </c>
      <c r="E68" s="2" t="s">
        <v>40</v>
      </c>
      <c r="F68" s="12" t="str">
        <f>A68&amp;"|"&amp;B68</f>
        <v>3305|2º Mesário</v>
      </c>
      <c r="G68" s="13" t="s">
        <v>266</v>
      </c>
      <c r="H68" s="2" t="s">
        <v>38</v>
      </c>
      <c r="I68" s="2" t="s">
        <v>39</v>
      </c>
      <c r="J68" s="2" t="s">
        <v>40</v>
      </c>
      <c r="K68" s="2" t="s">
        <v>41</v>
      </c>
      <c r="L68" s="2" t="s">
        <v>42</v>
      </c>
      <c r="M68" s="2" t="s">
        <v>36</v>
      </c>
      <c r="N68" s="2"/>
      <c r="O68" s="2"/>
    </row>
    <row r="69" spans="1:15" x14ac:dyDescent="0.25">
      <c r="A69" s="10">
        <v>3305</v>
      </c>
      <c r="B69" s="2" t="s">
        <v>55</v>
      </c>
      <c r="C69" s="11" t="s">
        <v>267</v>
      </c>
      <c r="D69" s="2" t="s">
        <v>268</v>
      </c>
      <c r="E69" s="2" t="s">
        <v>40</v>
      </c>
      <c r="F69" s="12" t="str">
        <f>A69&amp;"|"&amp;B69</f>
        <v>3305|1º Secretário</v>
      </c>
      <c r="G69" s="13" t="s">
        <v>269</v>
      </c>
      <c r="H69" s="2" t="s">
        <v>38</v>
      </c>
      <c r="I69" s="2" t="s">
        <v>39</v>
      </c>
      <c r="J69" s="2" t="s">
        <v>40</v>
      </c>
      <c r="K69" s="2" t="s">
        <v>41</v>
      </c>
      <c r="L69" s="2" t="s">
        <v>42</v>
      </c>
      <c r="M69" s="2" t="s">
        <v>36</v>
      </c>
      <c r="N69" s="2"/>
      <c r="O69" s="2"/>
    </row>
    <row r="70" spans="1:15" x14ac:dyDescent="0.25">
      <c r="A70" s="10">
        <v>3306</v>
      </c>
      <c r="B70" s="2" t="s">
        <v>33</v>
      </c>
      <c r="C70" s="11" t="s">
        <v>270</v>
      </c>
      <c r="D70" s="2" t="s">
        <v>271</v>
      </c>
      <c r="E70" s="2" t="s">
        <v>36</v>
      </c>
      <c r="F70" s="12" t="str">
        <f>A70&amp;"|"&amp;B70</f>
        <v>3306|Presidente</v>
      </c>
      <c r="G70" s="13" t="s">
        <v>272</v>
      </c>
      <c r="H70" s="2" t="s">
        <v>38</v>
      </c>
      <c r="I70" s="2" t="s">
        <v>39</v>
      </c>
      <c r="J70" s="2" t="s">
        <v>40</v>
      </c>
      <c r="K70" s="2" t="s">
        <v>41</v>
      </c>
      <c r="L70" s="2" t="s">
        <v>42</v>
      </c>
      <c r="M70" s="2" t="s">
        <v>36</v>
      </c>
      <c r="N70" s="2" t="s">
        <v>43</v>
      </c>
      <c r="O70" s="2"/>
    </row>
    <row r="71" spans="1:15" x14ac:dyDescent="0.25">
      <c r="A71" s="10">
        <v>3306</v>
      </c>
      <c r="B71" s="2" t="s">
        <v>44</v>
      </c>
      <c r="C71" s="11" t="s">
        <v>273</v>
      </c>
      <c r="D71" s="2" t="s">
        <v>274</v>
      </c>
      <c r="E71" s="2" t="s">
        <v>36</v>
      </c>
      <c r="F71" s="12" t="str">
        <f>A71&amp;"|"&amp;B71</f>
        <v>3306|1º Mesário</v>
      </c>
      <c r="G71" s="13" t="s">
        <v>275</v>
      </c>
      <c r="H71" s="2" t="s">
        <v>38</v>
      </c>
      <c r="I71" s="2" t="s">
        <v>39</v>
      </c>
      <c r="J71" s="2" t="s">
        <v>40</v>
      </c>
      <c r="K71" s="2" t="s">
        <v>41</v>
      </c>
      <c r="L71" s="2" t="s">
        <v>42</v>
      </c>
      <c r="M71" s="2" t="s">
        <v>36</v>
      </c>
      <c r="N71" s="2" t="s">
        <v>43</v>
      </c>
      <c r="O71" s="2"/>
    </row>
    <row r="72" spans="1:15" x14ac:dyDescent="0.25">
      <c r="A72" s="10">
        <v>3306</v>
      </c>
      <c r="B72" s="2" t="s">
        <v>48</v>
      </c>
      <c r="C72" s="11" t="s">
        <v>276</v>
      </c>
      <c r="D72" s="2" t="s">
        <v>277</v>
      </c>
      <c r="E72" s="2" t="s">
        <v>36</v>
      </c>
      <c r="F72" s="12" t="str">
        <f>A72&amp;"|"&amp;B72</f>
        <v>3306|2º Mesário</v>
      </c>
      <c r="G72" s="13" t="s">
        <v>278</v>
      </c>
      <c r="H72" s="2" t="s">
        <v>38</v>
      </c>
      <c r="I72" s="2" t="s">
        <v>39</v>
      </c>
      <c r="J72" s="2" t="s">
        <v>40</v>
      </c>
      <c r="K72" s="2" t="s">
        <v>41</v>
      </c>
      <c r="L72" s="2" t="s">
        <v>42</v>
      </c>
      <c r="M72" s="2" t="s">
        <v>36</v>
      </c>
      <c r="N72" s="2" t="s">
        <v>43</v>
      </c>
      <c r="O72" s="2"/>
    </row>
    <row r="73" spans="1:15" x14ac:dyDescent="0.25">
      <c r="A73" s="10">
        <v>3306</v>
      </c>
      <c r="B73" s="2" t="s">
        <v>55</v>
      </c>
      <c r="C73" s="11" t="s">
        <v>279</v>
      </c>
      <c r="D73" s="2" t="s">
        <v>280</v>
      </c>
      <c r="E73" s="2" t="s">
        <v>36</v>
      </c>
      <c r="F73" s="12" t="str">
        <f>A73&amp;"|"&amp;B73</f>
        <v>3306|1º Secretário</v>
      </c>
      <c r="G73" s="13" t="s">
        <v>281</v>
      </c>
      <c r="H73" s="2" t="s">
        <v>38</v>
      </c>
      <c r="I73" s="2" t="s">
        <v>39</v>
      </c>
      <c r="J73" s="2" t="s">
        <v>40</v>
      </c>
      <c r="K73" s="2" t="s">
        <v>41</v>
      </c>
      <c r="L73" s="2" t="s">
        <v>42</v>
      </c>
      <c r="M73" s="2" t="s">
        <v>36</v>
      </c>
      <c r="N73" s="2" t="s">
        <v>43</v>
      </c>
      <c r="O73" s="2"/>
    </row>
    <row r="74" spans="1:15" x14ac:dyDescent="0.25">
      <c r="A74" s="10">
        <v>3308</v>
      </c>
      <c r="B74" s="2" t="s">
        <v>33</v>
      </c>
      <c r="C74" s="11" t="s">
        <v>282</v>
      </c>
      <c r="D74" s="2" t="s">
        <v>283</v>
      </c>
      <c r="E74" s="2" t="s">
        <v>36</v>
      </c>
      <c r="F74" s="12" t="str">
        <f>A74&amp;"|"&amp;B74</f>
        <v>3308|Presidente</v>
      </c>
      <c r="G74" s="13" t="s">
        <v>284</v>
      </c>
      <c r="H74" s="2" t="s">
        <v>38</v>
      </c>
      <c r="I74" s="2" t="s">
        <v>39</v>
      </c>
      <c r="J74" s="2" t="s">
        <v>40</v>
      </c>
      <c r="K74" s="2" t="s">
        <v>66</v>
      </c>
      <c r="L74" s="2" t="s">
        <v>67</v>
      </c>
      <c r="M74" s="2" t="s">
        <v>61</v>
      </c>
      <c r="N74" s="2"/>
      <c r="O74" s="2" t="s">
        <v>77</v>
      </c>
    </row>
    <row r="75" spans="1:15" x14ac:dyDescent="0.25">
      <c r="A75" s="10">
        <v>3308</v>
      </c>
      <c r="B75" s="2" t="s">
        <v>44</v>
      </c>
      <c r="C75" s="11" t="s">
        <v>285</v>
      </c>
      <c r="D75" s="2" t="s">
        <v>286</v>
      </c>
      <c r="E75" s="2" t="s">
        <v>36</v>
      </c>
      <c r="F75" s="12" t="str">
        <f>A75&amp;"|"&amp;B75</f>
        <v>3308|1º Mesário</v>
      </c>
      <c r="G75" s="13" t="s">
        <v>287</v>
      </c>
      <c r="H75" s="2" t="s">
        <v>38</v>
      </c>
      <c r="I75" s="2" t="s">
        <v>64</v>
      </c>
      <c r="J75" s="2" t="s">
        <v>40</v>
      </c>
      <c r="K75" s="2" t="s">
        <v>41</v>
      </c>
      <c r="L75" s="2" t="s">
        <v>42</v>
      </c>
      <c r="M75" s="2" t="s">
        <v>36</v>
      </c>
      <c r="N75" s="2" t="s">
        <v>43</v>
      </c>
      <c r="O75" s="2" t="s">
        <v>87</v>
      </c>
    </row>
    <row r="76" spans="1:15" x14ac:dyDescent="0.25">
      <c r="A76" s="10">
        <v>3308</v>
      </c>
      <c r="B76" s="2" t="s">
        <v>48</v>
      </c>
      <c r="C76" s="11" t="s">
        <v>288</v>
      </c>
      <c r="D76" s="2" t="s">
        <v>289</v>
      </c>
      <c r="E76" s="2" t="s">
        <v>36</v>
      </c>
      <c r="F76" s="12" t="str">
        <f>A76&amp;"|"&amp;B76</f>
        <v>3308|2º Mesário</v>
      </c>
      <c r="G76" s="13" t="s">
        <v>290</v>
      </c>
      <c r="H76" s="2" t="s">
        <v>38</v>
      </c>
      <c r="I76" s="2" t="s">
        <v>39</v>
      </c>
      <c r="J76" s="2" t="s">
        <v>40</v>
      </c>
      <c r="K76" s="2" t="s">
        <v>41</v>
      </c>
      <c r="L76" s="2" t="s">
        <v>42</v>
      </c>
      <c r="M76" s="2" t="s">
        <v>36</v>
      </c>
      <c r="N76" s="2" t="s">
        <v>43</v>
      </c>
      <c r="O76" s="2"/>
    </row>
    <row r="77" spans="1:15" x14ac:dyDescent="0.25">
      <c r="A77" s="10">
        <v>3308</v>
      </c>
      <c r="B77" s="2" t="s">
        <v>55</v>
      </c>
      <c r="C77" s="11" t="s">
        <v>291</v>
      </c>
      <c r="D77" s="2" t="s">
        <v>292</v>
      </c>
      <c r="E77" s="2" t="s">
        <v>36</v>
      </c>
      <c r="F77" s="12" t="str">
        <f>A77&amp;"|"&amp;B77</f>
        <v>3308|1º Secretário</v>
      </c>
      <c r="G77" s="13" t="s">
        <v>293</v>
      </c>
      <c r="H77" s="2" t="s">
        <v>38</v>
      </c>
      <c r="I77" s="2" t="s">
        <v>39</v>
      </c>
      <c r="J77" s="2" t="s">
        <v>40</v>
      </c>
      <c r="K77" s="2" t="s">
        <v>41</v>
      </c>
      <c r="L77" s="2" t="s">
        <v>42</v>
      </c>
      <c r="M77" s="2" t="s">
        <v>36</v>
      </c>
      <c r="N77" s="2" t="s">
        <v>43</v>
      </c>
      <c r="O77" s="2"/>
    </row>
    <row r="78" spans="1:15" x14ac:dyDescent="0.25">
      <c r="A78" s="10">
        <v>3309</v>
      </c>
      <c r="B78" s="2" t="s">
        <v>33</v>
      </c>
      <c r="C78" s="11" t="s">
        <v>294</v>
      </c>
      <c r="D78" s="2" t="s">
        <v>295</v>
      </c>
      <c r="E78" s="2" t="s">
        <v>36</v>
      </c>
      <c r="F78" s="12" t="str">
        <f>A78&amp;"|"&amp;B78</f>
        <v>3309|Presidente</v>
      </c>
      <c r="G78" s="13" t="s">
        <v>296</v>
      </c>
      <c r="H78" s="2" t="s">
        <v>38</v>
      </c>
      <c r="I78" s="2" t="s">
        <v>39</v>
      </c>
      <c r="J78" s="2" t="s">
        <v>40</v>
      </c>
      <c r="K78" s="2" t="s">
        <v>41</v>
      </c>
      <c r="L78" s="2" t="s">
        <v>223</v>
      </c>
      <c r="M78" s="2" t="s">
        <v>36</v>
      </c>
      <c r="N78" s="2" t="s">
        <v>43</v>
      </c>
      <c r="O78" s="2"/>
    </row>
    <row r="79" spans="1:15" x14ac:dyDescent="0.25">
      <c r="A79" s="10">
        <v>3309</v>
      </c>
      <c r="B79" s="2" t="s">
        <v>44</v>
      </c>
      <c r="C79" s="11" t="s">
        <v>297</v>
      </c>
      <c r="D79" s="2" t="s">
        <v>298</v>
      </c>
      <c r="E79" s="2" t="s">
        <v>36</v>
      </c>
      <c r="F79" s="12" t="str">
        <f>A79&amp;"|"&amp;B79</f>
        <v>3309|1º Mesário</v>
      </c>
      <c r="G79" s="13" t="s">
        <v>299</v>
      </c>
      <c r="H79" s="2" t="s">
        <v>38</v>
      </c>
      <c r="I79" s="2" t="s">
        <v>39</v>
      </c>
      <c r="J79" s="2" t="s">
        <v>40</v>
      </c>
      <c r="K79" s="2" t="s">
        <v>41</v>
      </c>
      <c r="L79" s="2" t="s">
        <v>216</v>
      </c>
      <c r="M79" s="2" t="s">
        <v>36</v>
      </c>
      <c r="N79" s="2" t="s">
        <v>43</v>
      </c>
      <c r="O79" s="2"/>
    </row>
    <row r="80" spans="1:15" x14ac:dyDescent="0.25">
      <c r="A80" s="10">
        <v>3309</v>
      </c>
      <c r="B80" s="2" t="s">
        <v>48</v>
      </c>
      <c r="C80" s="11" t="s">
        <v>300</v>
      </c>
      <c r="D80" s="2" t="s">
        <v>301</v>
      </c>
      <c r="E80" s="2" t="s">
        <v>36</v>
      </c>
      <c r="F80" s="12" t="str">
        <f>A80&amp;"|"&amp;B80</f>
        <v>3309|2º Mesário</v>
      </c>
      <c r="G80" s="13" t="s">
        <v>302</v>
      </c>
      <c r="H80" s="2" t="s">
        <v>38</v>
      </c>
      <c r="I80" s="2" t="s">
        <v>39</v>
      </c>
      <c r="J80" s="2" t="s">
        <v>40</v>
      </c>
      <c r="K80" s="2" t="s">
        <v>41</v>
      </c>
      <c r="L80" s="2" t="s">
        <v>42</v>
      </c>
      <c r="M80" s="2" t="s">
        <v>36</v>
      </c>
      <c r="N80" s="2" t="s">
        <v>43</v>
      </c>
      <c r="O80" s="2"/>
    </row>
    <row r="81" spans="1:15" x14ac:dyDescent="0.25">
      <c r="A81" s="10">
        <v>3309</v>
      </c>
      <c r="B81" s="2" t="s">
        <v>55</v>
      </c>
      <c r="C81" s="11"/>
      <c r="D81" s="2" t="s">
        <v>303</v>
      </c>
      <c r="E81" s="2" t="s">
        <v>36</v>
      </c>
      <c r="F81" s="12" t="str">
        <f>A81&amp;"|"&amp;B81</f>
        <v>3309|1º Secretário</v>
      </c>
      <c r="G81" s="13" t="s">
        <v>304</v>
      </c>
      <c r="H81" s="2" t="s">
        <v>38</v>
      </c>
      <c r="I81" s="2" t="s">
        <v>39</v>
      </c>
      <c r="J81" s="2" t="s">
        <v>40</v>
      </c>
      <c r="K81" s="2" t="s">
        <v>41</v>
      </c>
      <c r="L81" s="2" t="s">
        <v>216</v>
      </c>
      <c r="M81" s="2" t="s">
        <v>36</v>
      </c>
      <c r="N81" s="2" t="s">
        <v>43</v>
      </c>
      <c r="O81" s="2"/>
    </row>
    <row r="82" spans="1:15" x14ac:dyDescent="0.25">
      <c r="A82" s="10">
        <v>3311</v>
      </c>
      <c r="B82" s="2" t="s">
        <v>33</v>
      </c>
      <c r="C82" s="11" t="s">
        <v>305</v>
      </c>
      <c r="D82" s="2" t="s">
        <v>306</v>
      </c>
      <c r="E82" s="2" t="s">
        <v>65</v>
      </c>
      <c r="F82" s="12" t="str">
        <f>A82&amp;"|"&amp;B82</f>
        <v>3311|Presidente</v>
      </c>
      <c r="G82" s="13" t="s">
        <v>307</v>
      </c>
      <c r="H82" s="2" t="s">
        <v>63</v>
      </c>
      <c r="I82" s="2" t="s">
        <v>39</v>
      </c>
      <c r="J82" s="2" t="s">
        <v>65</v>
      </c>
      <c r="K82" s="2" t="s">
        <v>41</v>
      </c>
      <c r="L82" s="2" t="s">
        <v>42</v>
      </c>
      <c r="M82" s="2" t="s">
        <v>36</v>
      </c>
      <c r="N82" s="2"/>
      <c r="O82" s="2"/>
    </row>
    <row r="83" spans="1:15" x14ac:dyDescent="0.25">
      <c r="A83" s="10">
        <v>3311</v>
      </c>
      <c r="B83" s="2" t="s">
        <v>44</v>
      </c>
      <c r="C83" s="14" t="s">
        <v>308</v>
      </c>
      <c r="D83" s="2" t="s">
        <v>309</v>
      </c>
      <c r="E83" s="2" t="s">
        <v>65</v>
      </c>
      <c r="F83" s="12" t="str">
        <f>A83&amp;"|"&amp;B83</f>
        <v>3311|1º Mesário</v>
      </c>
      <c r="G83" s="13" t="s">
        <v>310</v>
      </c>
      <c r="H83" s="2" t="s">
        <v>63</v>
      </c>
      <c r="I83" s="2" t="s">
        <v>64</v>
      </c>
      <c r="J83" s="2" t="s">
        <v>65</v>
      </c>
      <c r="K83" s="2" t="s">
        <v>41</v>
      </c>
      <c r="L83" s="2" t="s">
        <v>42</v>
      </c>
      <c r="M83" s="2" t="s">
        <v>36</v>
      </c>
      <c r="N83" s="2"/>
      <c r="O83" s="2" t="s">
        <v>87</v>
      </c>
    </row>
    <row r="84" spans="1:15" x14ac:dyDescent="0.25">
      <c r="A84" s="10">
        <v>3311</v>
      </c>
      <c r="B84" s="2" t="s">
        <v>48</v>
      </c>
      <c r="C84" s="11" t="s">
        <v>311</v>
      </c>
      <c r="D84" s="2" t="s">
        <v>312</v>
      </c>
      <c r="E84" s="2" t="s">
        <v>40</v>
      </c>
      <c r="F84" s="12" t="str">
        <f>A84&amp;"|"&amp;B84</f>
        <v>3311|2º Mesário</v>
      </c>
      <c r="G84" s="13" t="s">
        <v>313</v>
      </c>
      <c r="H84" s="2" t="s">
        <v>38</v>
      </c>
      <c r="I84" s="2" t="s">
        <v>39</v>
      </c>
      <c r="J84" s="2" t="s">
        <v>40</v>
      </c>
      <c r="K84" s="2" t="s">
        <v>41</v>
      </c>
      <c r="L84" s="2" t="s">
        <v>42</v>
      </c>
      <c r="M84" s="2" t="s">
        <v>36</v>
      </c>
      <c r="N84" s="2"/>
      <c r="O84" s="2"/>
    </row>
    <row r="85" spans="1:15" x14ac:dyDescent="0.25">
      <c r="A85" s="10">
        <v>3311</v>
      </c>
      <c r="B85" s="2" t="s">
        <v>55</v>
      </c>
      <c r="C85" s="11" t="s">
        <v>314</v>
      </c>
      <c r="D85" s="2" t="s">
        <v>315</v>
      </c>
      <c r="E85" s="2" t="s">
        <v>40</v>
      </c>
      <c r="F85" s="12" t="str">
        <f>A85&amp;"|"&amp;B85</f>
        <v>3311|1º Secretário</v>
      </c>
      <c r="G85" s="13" t="s">
        <v>316</v>
      </c>
      <c r="H85" s="2" t="s">
        <v>38</v>
      </c>
      <c r="I85" s="2" t="s">
        <v>39</v>
      </c>
      <c r="J85" s="2" t="s">
        <v>40</v>
      </c>
      <c r="K85" s="2" t="s">
        <v>41</v>
      </c>
      <c r="L85" s="2" t="s">
        <v>42</v>
      </c>
      <c r="M85" s="2" t="s">
        <v>36</v>
      </c>
      <c r="N85" s="2"/>
      <c r="O85" s="2"/>
    </row>
    <row r="86" spans="1:15" x14ac:dyDescent="0.25">
      <c r="A86" s="10">
        <v>3313</v>
      </c>
      <c r="B86" s="2" t="s">
        <v>33</v>
      </c>
      <c r="C86" s="11" t="s">
        <v>317</v>
      </c>
      <c r="D86" s="2" t="s">
        <v>318</v>
      </c>
      <c r="E86" s="2" t="s">
        <v>36</v>
      </c>
      <c r="F86" s="12" t="str">
        <f>A86&amp;"|"&amp;B86</f>
        <v>3313|Presidente</v>
      </c>
      <c r="G86" s="13" t="s">
        <v>319</v>
      </c>
      <c r="H86" s="2" t="s">
        <v>38</v>
      </c>
      <c r="I86" s="2" t="s">
        <v>39</v>
      </c>
      <c r="J86" s="2" t="s">
        <v>40</v>
      </c>
      <c r="K86" s="2" t="s">
        <v>41</v>
      </c>
      <c r="L86" s="2" t="s">
        <v>67</v>
      </c>
      <c r="M86" s="2" t="s">
        <v>36</v>
      </c>
      <c r="N86" s="2" t="s">
        <v>43</v>
      </c>
      <c r="O86" s="2"/>
    </row>
    <row r="87" spans="1:15" x14ac:dyDescent="0.25">
      <c r="A87" s="10">
        <v>3313</v>
      </c>
      <c r="B87" s="2" t="s">
        <v>44</v>
      </c>
      <c r="C87" s="11" t="s">
        <v>320</v>
      </c>
      <c r="D87" s="2" t="s">
        <v>321</v>
      </c>
      <c r="E87" s="2" t="s">
        <v>36</v>
      </c>
      <c r="F87" s="12" t="str">
        <f>A87&amp;"|"&amp;B87</f>
        <v>3313|1º Mesário</v>
      </c>
      <c r="G87" s="13" t="s">
        <v>322</v>
      </c>
      <c r="H87" s="2" t="s">
        <v>38</v>
      </c>
      <c r="I87" s="2" t="s">
        <v>39</v>
      </c>
      <c r="J87" s="2" t="s">
        <v>40</v>
      </c>
      <c r="K87" s="2" t="s">
        <v>41</v>
      </c>
      <c r="L87" s="2" t="s">
        <v>42</v>
      </c>
      <c r="M87" s="2" t="s">
        <v>36</v>
      </c>
      <c r="N87" s="2" t="s">
        <v>43</v>
      </c>
      <c r="O87" s="2"/>
    </row>
    <row r="88" spans="1:15" x14ac:dyDescent="0.25">
      <c r="A88" s="10">
        <v>3313</v>
      </c>
      <c r="B88" s="2" t="s">
        <v>48</v>
      </c>
      <c r="C88" s="11" t="s">
        <v>323</v>
      </c>
      <c r="D88" s="2" t="s">
        <v>324</v>
      </c>
      <c r="E88" s="2" t="s">
        <v>36</v>
      </c>
      <c r="F88" s="12" t="str">
        <f>A88&amp;"|"&amp;B88</f>
        <v>3313|2º Mesário</v>
      </c>
      <c r="G88" s="13" t="s">
        <v>325</v>
      </c>
      <c r="H88" s="2" t="s">
        <v>38</v>
      </c>
      <c r="I88" s="2" t="s">
        <v>39</v>
      </c>
      <c r="J88" s="2" t="s">
        <v>40</v>
      </c>
      <c r="K88" s="2" t="s">
        <v>41</v>
      </c>
      <c r="L88" s="2" t="s">
        <v>42</v>
      </c>
      <c r="M88" s="2" t="s">
        <v>36</v>
      </c>
      <c r="N88" s="2" t="s">
        <v>43</v>
      </c>
      <c r="O88" s="2"/>
    </row>
    <row r="89" spans="1:15" x14ac:dyDescent="0.25">
      <c r="A89" s="10">
        <v>3313</v>
      </c>
      <c r="B89" s="2" t="s">
        <v>55</v>
      </c>
      <c r="C89" s="11" t="s">
        <v>326</v>
      </c>
      <c r="D89" s="2" t="s">
        <v>327</v>
      </c>
      <c r="E89" s="2" t="s">
        <v>36</v>
      </c>
      <c r="F89" s="12" t="str">
        <f>A89&amp;"|"&amp;B89</f>
        <v>3313|1º Secretário</v>
      </c>
      <c r="G89" s="13" t="s">
        <v>328</v>
      </c>
      <c r="H89" s="2" t="s">
        <v>38</v>
      </c>
      <c r="I89" s="2" t="s">
        <v>39</v>
      </c>
      <c r="J89" s="2" t="s">
        <v>40</v>
      </c>
      <c r="K89" s="2" t="s">
        <v>41</v>
      </c>
      <c r="L89" s="2" t="s">
        <v>42</v>
      </c>
      <c r="M89" s="2" t="s">
        <v>36</v>
      </c>
      <c r="N89" s="2" t="s">
        <v>43</v>
      </c>
      <c r="O89" s="2"/>
    </row>
    <row r="90" spans="1:15" x14ac:dyDescent="0.25">
      <c r="A90" s="10">
        <v>3315</v>
      </c>
      <c r="B90" s="2" t="s">
        <v>33</v>
      </c>
      <c r="C90" s="11" t="s">
        <v>329</v>
      </c>
      <c r="D90" s="2" t="s">
        <v>330</v>
      </c>
      <c r="E90" s="2" t="s">
        <v>36</v>
      </c>
      <c r="F90" s="12" t="str">
        <f>A90&amp;"|"&amp;B90</f>
        <v>3315|Presidente</v>
      </c>
      <c r="G90" s="13" t="s">
        <v>331</v>
      </c>
      <c r="H90" s="2" t="s">
        <v>38</v>
      </c>
      <c r="I90" s="2" t="s">
        <v>39</v>
      </c>
      <c r="J90" s="2" t="s">
        <v>40</v>
      </c>
      <c r="K90" s="2" t="s">
        <v>66</v>
      </c>
      <c r="L90" s="2" t="s">
        <v>67</v>
      </c>
      <c r="M90" s="2" t="s">
        <v>61</v>
      </c>
      <c r="N90" s="2"/>
      <c r="O90" s="2" t="s">
        <v>77</v>
      </c>
    </row>
    <row r="91" spans="1:15" x14ac:dyDescent="0.25">
      <c r="A91" s="10">
        <v>3315</v>
      </c>
      <c r="B91" s="2" t="s">
        <v>44</v>
      </c>
      <c r="C91" s="11" t="s">
        <v>332</v>
      </c>
      <c r="D91" s="2" t="s">
        <v>333</v>
      </c>
      <c r="E91" s="2" t="s">
        <v>36</v>
      </c>
      <c r="F91" s="12" t="str">
        <f>A91&amp;"|"&amp;B91</f>
        <v>3315|1º Mesário</v>
      </c>
      <c r="G91" s="13" t="s">
        <v>334</v>
      </c>
      <c r="H91" s="2" t="s">
        <v>38</v>
      </c>
      <c r="I91" s="2" t="s">
        <v>39</v>
      </c>
      <c r="J91" s="2" t="s">
        <v>40</v>
      </c>
      <c r="K91" s="2" t="s">
        <v>41</v>
      </c>
      <c r="L91" s="2" t="s">
        <v>42</v>
      </c>
      <c r="M91" s="2" t="s">
        <v>36</v>
      </c>
      <c r="N91" s="2" t="s">
        <v>43</v>
      </c>
      <c r="O91" s="2"/>
    </row>
    <row r="92" spans="1:15" x14ac:dyDescent="0.25">
      <c r="A92" s="10">
        <v>3315</v>
      </c>
      <c r="B92" s="2" t="s">
        <v>48</v>
      </c>
      <c r="C92" s="11" t="s">
        <v>335</v>
      </c>
      <c r="D92" s="2" t="s">
        <v>336</v>
      </c>
      <c r="E92" s="2" t="s">
        <v>36</v>
      </c>
      <c r="F92" s="12" t="str">
        <f>A92&amp;"|"&amp;B92</f>
        <v>3315|2º Mesário</v>
      </c>
      <c r="G92" s="13" t="s">
        <v>337</v>
      </c>
      <c r="H92" s="2" t="s">
        <v>38</v>
      </c>
      <c r="I92" s="2" t="s">
        <v>39</v>
      </c>
      <c r="J92" s="2" t="s">
        <v>40</v>
      </c>
      <c r="K92" s="2" t="s">
        <v>41</v>
      </c>
      <c r="L92" s="2" t="s">
        <v>42</v>
      </c>
      <c r="M92" s="2" t="s">
        <v>36</v>
      </c>
      <c r="N92" s="2" t="s">
        <v>43</v>
      </c>
      <c r="O92" s="2"/>
    </row>
    <row r="93" spans="1:15" x14ac:dyDescent="0.25">
      <c r="A93" s="10">
        <v>3315</v>
      </c>
      <c r="B93" s="2" t="s">
        <v>55</v>
      </c>
      <c r="C93" s="11" t="s">
        <v>338</v>
      </c>
      <c r="D93" s="2" t="s">
        <v>339</v>
      </c>
      <c r="E93" s="2" t="s">
        <v>36</v>
      </c>
      <c r="F93" s="12" t="str">
        <f>A93&amp;"|"&amp;B93</f>
        <v>3315|1º Secretário</v>
      </c>
      <c r="G93" s="13" t="s">
        <v>340</v>
      </c>
      <c r="H93" s="2" t="s">
        <v>38</v>
      </c>
      <c r="I93" s="2" t="s">
        <v>39</v>
      </c>
      <c r="J93" s="2" t="s">
        <v>40</v>
      </c>
      <c r="K93" s="2" t="s">
        <v>66</v>
      </c>
      <c r="L93" s="2" t="s">
        <v>67</v>
      </c>
      <c r="M93" s="2" t="s">
        <v>61</v>
      </c>
      <c r="N93" s="2"/>
      <c r="O93" s="2" t="s">
        <v>77</v>
      </c>
    </row>
    <row r="94" spans="1:15" x14ac:dyDescent="0.25">
      <c r="A94" s="10">
        <v>3322</v>
      </c>
      <c r="B94" s="2" t="s">
        <v>33</v>
      </c>
      <c r="C94" s="11" t="s">
        <v>341</v>
      </c>
      <c r="D94" s="2" t="s">
        <v>342</v>
      </c>
      <c r="E94" s="2" t="s">
        <v>36</v>
      </c>
      <c r="F94" s="12" t="str">
        <f>A94&amp;"|"&amp;B94</f>
        <v>3322|Presidente</v>
      </c>
      <c r="G94" s="13" t="s">
        <v>343</v>
      </c>
      <c r="H94" s="2" t="s">
        <v>38</v>
      </c>
      <c r="I94" s="2" t="s">
        <v>39</v>
      </c>
      <c r="J94" s="2" t="s">
        <v>40</v>
      </c>
      <c r="K94" s="2" t="s">
        <v>41</v>
      </c>
      <c r="L94" s="2" t="s">
        <v>67</v>
      </c>
      <c r="M94" s="2" t="s">
        <v>36</v>
      </c>
      <c r="N94" s="2" t="s">
        <v>43</v>
      </c>
      <c r="O94" s="2"/>
    </row>
    <row r="95" spans="1:15" x14ac:dyDescent="0.25">
      <c r="A95" s="10">
        <v>3322</v>
      </c>
      <c r="B95" s="2" t="s">
        <v>44</v>
      </c>
      <c r="C95" s="11" t="s">
        <v>344</v>
      </c>
      <c r="D95" s="2" t="s">
        <v>345</v>
      </c>
      <c r="E95" s="2" t="s">
        <v>61</v>
      </c>
      <c r="F95" s="12" t="str">
        <f>A95&amp;"|"&amp;B95</f>
        <v>3322|1º Mesário</v>
      </c>
      <c r="G95" s="13" t="s">
        <v>346</v>
      </c>
      <c r="H95" s="2" t="s">
        <v>63</v>
      </c>
      <c r="I95" s="2" t="s">
        <v>39</v>
      </c>
      <c r="J95" s="2" t="s">
        <v>65</v>
      </c>
      <c r="K95" s="2" t="s">
        <v>66</v>
      </c>
      <c r="L95" s="2" t="s">
        <v>347</v>
      </c>
      <c r="M95" s="2" t="s">
        <v>36</v>
      </c>
      <c r="N95" s="2"/>
      <c r="O95" s="2" t="s">
        <v>348</v>
      </c>
    </row>
    <row r="96" spans="1:15" x14ac:dyDescent="0.25">
      <c r="A96" s="10">
        <v>3322</v>
      </c>
      <c r="B96" s="2" t="s">
        <v>48</v>
      </c>
      <c r="C96" s="11"/>
      <c r="D96" s="2" t="s">
        <v>349</v>
      </c>
      <c r="E96" s="2" t="s">
        <v>61</v>
      </c>
      <c r="F96" s="12" t="str">
        <f>A96&amp;"|"&amp;B96</f>
        <v>3322|2º Mesário</v>
      </c>
      <c r="G96" s="13" t="s">
        <v>350</v>
      </c>
      <c r="H96" s="2" t="s">
        <v>38</v>
      </c>
      <c r="I96" s="2" t="s">
        <v>39</v>
      </c>
      <c r="J96" s="2" t="s">
        <v>40</v>
      </c>
      <c r="K96" s="2" t="s">
        <v>66</v>
      </c>
      <c r="L96" s="2" t="s">
        <v>67</v>
      </c>
      <c r="M96" s="2" t="s">
        <v>61</v>
      </c>
      <c r="N96" s="2" t="s">
        <v>43</v>
      </c>
      <c r="O96" s="2" t="s">
        <v>77</v>
      </c>
    </row>
    <row r="97" spans="1:15" x14ac:dyDescent="0.25">
      <c r="A97" s="10">
        <v>3322</v>
      </c>
      <c r="B97" s="2" t="s">
        <v>55</v>
      </c>
      <c r="C97" s="11" t="s">
        <v>351</v>
      </c>
      <c r="D97" s="2" t="s">
        <v>352</v>
      </c>
      <c r="E97" s="2" t="s">
        <v>36</v>
      </c>
      <c r="F97" s="12" t="str">
        <f>A97&amp;"|"&amp;B97</f>
        <v>3322|1º Secretário</v>
      </c>
      <c r="G97" s="13" t="s">
        <v>353</v>
      </c>
      <c r="H97" s="2" t="s">
        <v>38</v>
      </c>
      <c r="I97" s="2" t="s">
        <v>39</v>
      </c>
      <c r="J97" s="2" t="s">
        <v>40</v>
      </c>
      <c r="K97" s="2" t="s">
        <v>41</v>
      </c>
      <c r="L97" s="2" t="s">
        <v>42</v>
      </c>
      <c r="M97" s="2" t="s">
        <v>36</v>
      </c>
      <c r="N97" s="2" t="s">
        <v>43</v>
      </c>
      <c r="O97" s="2"/>
    </row>
    <row r="98" spans="1:15" x14ac:dyDescent="0.25">
      <c r="A98" s="10">
        <v>3442</v>
      </c>
      <c r="B98" s="2" t="s">
        <v>33</v>
      </c>
      <c r="C98" s="11" t="s">
        <v>354</v>
      </c>
      <c r="D98" s="2" t="s">
        <v>355</v>
      </c>
      <c r="E98" s="2" t="s">
        <v>36</v>
      </c>
      <c r="F98" s="12" t="str">
        <f>A98&amp;"|"&amp;B98</f>
        <v>3442|Presidente</v>
      </c>
      <c r="G98" s="13" t="s">
        <v>356</v>
      </c>
      <c r="H98" s="2" t="s">
        <v>38</v>
      </c>
      <c r="I98" s="2" t="s">
        <v>39</v>
      </c>
      <c r="J98" s="2" t="s">
        <v>40</v>
      </c>
      <c r="K98" s="2" t="s">
        <v>41</v>
      </c>
      <c r="L98" s="2" t="s">
        <v>42</v>
      </c>
      <c r="M98" s="2" t="s">
        <v>36</v>
      </c>
      <c r="N98" s="2" t="s">
        <v>43</v>
      </c>
      <c r="O98" s="2"/>
    </row>
    <row r="99" spans="1:15" x14ac:dyDescent="0.25">
      <c r="A99" s="10">
        <v>3442</v>
      </c>
      <c r="B99" s="2" t="s">
        <v>44</v>
      </c>
      <c r="C99" s="11" t="s">
        <v>357</v>
      </c>
      <c r="D99" s="2" t="s">
        <v>358</v>
      </c>
      <c r="E99" s="2" t="s">
        <v>61</v>
      </c>
      <c r="F99" s="12" t="str">
        <f>A99&amp;"|"&amp;B99</f>
        <v>3442|1º Mesário</v>
      </c>
      <c r="G99" s="13" t="s">
        <v>359</v>
      </c>
      <c r="H99" s="2" t="s">
        <v>63</v>
      </c>
      <c r="I99" s="2" t="s">
        <v>39</v>
      </c>
      <c r="J99" s="2" t="s">
        <v>65</v>
      </c>
      <c r="K99" s="2" t="s">
        <v>66</v>
      </c>
      <c r="L99" s="2" t="s">
        <v>67</v>
      </c>
      <c r="M99" s="2" t="s">
        <v>61</v>
      </c>
      <c r="N99" s="2" t="s">
        <v>43</v>
      </c>
      <c r="O99" s="2" t="s">
        <v>77</v>
      </c>
    </row>
    <row r="100" spans="1:15" ht="16.5" customHeight="1" x14ac:dyDescent="0.25">
      <c r="A100" s="10">
        <v>3442</v>
      </c>
      <c r="B100" s="2" t="s">
        <v>48</v>
      </c>
      <c r="C100" s="11" t="s">
        <v>360</v>
      </c>
      <c r="D100" s="2" t="s">
        <v>361</v>
      </c>
      <c r="E100" s="2" t="s">
        <v>61</v>
      </c>
      <c r="F100" s="12" t="str">
        <f>A100&amp;"|"&amp;B100</f>
        <v>3442|2º Mesário</v>
      </c>
      <c r="G100" s="13" t="s">
        <v>362</v>
      </c>
      <c r="H100" s="2" t="s">
        <v>38</v>
      </c>
      <c r="I100" s="2" t="s">
        <v>39</v>
      </c>
      <c r="J100" s="2" t="s">
        <v>40</v>
      </c>
      <c r="K100" s="2" t="s">
        <v>66</v>
      </c>
      <c r="L100" s="2" t="s">
        <v>67</v>
      </c>
      <c r="M100" s="2" t="s">
        <v>61</v>
      </c>
      <c r="N100" s="2" t="s">
        <v>43</v>
      </c>
      <c r="O100" s="2" t="s">
        <v>77</v>
      </c>
    </row>
    <row r="101" spans="1:15" x14ac:dyDescent="0.25">
      <c r="A101" s="10">
        <v>3442</v>
      </c>
      <c r="B101" s="2" t="s">
        <v>55</v>
      </c>
      <c r="C101" s="11" t="s">
        <v>363</v>
      </c>
      <c r="D101" s="2" t="s">
        <v>364</v>
      </c>
      <c r="E101" s="2" t="s">
        <v>36</v>
      </c>
      <c r="F101" s="12" t="str">
        <f>A101&amp;"|"&amp;B101</f>
        <v>3442|1º Secretário</v>
      </c>
      <c r="G101" s="13" t="s">
        <v>365</v>
      </c>
      <c r="H101" s="2" t="s">
        <v>63</v>
      </c>
      <c r="I101" s="2" t="s">
        <v>39</v>
      </c>
      <c r="J101" s="2" t="s">
        <v>65</v>
      </c>
      <c r="K101" s="2" t="s">
        <v>41</v>
      </c>
      <c r="L101" s="2" t="s">
        <v>42</v>
      </c>
      <c r="M101" s="2" t="s">
        <v>36</v>
      </c>
      <c r="N101" s="2" t="s">
        <v>43</v>
      </c>
      <c r="O101" s="2"/>
    </row>
    <row r="102" spans="1:15" x14ac:dyDescent="0.25">
      <c r="A102" s="10">
        <v>3688</v>
      </c>
      <c r="B102" s="2" t="s">
        <v>33</v>
      </c>
      <c r="C102" s="11" t="s">
        <v>366</v>
      </c>
      <c r="D102" s="2" t="s">
        <v>367</v>
      </c>
      <c r="E102" s="2" t="s">
        <v>36</v>
      </c>
      <c r="F102" s="12" t="str">
        <f>A102&amp;"|"&amp;B102</f>
        <v>3688|Presidente</v>
      </c>
      <c r="G102" s="13" t="s">
        <v>368</v>
      </c>
      <c r="H102" s="2" t="s">
        <v>38</v>
      </c>
      <c r="I102" s="2" t="s">
        <v>39</v>
      </c>
      <c r="J102" s="2" t="s">
        <v>40</v>
      </c>
      <c r="K102" s="2" t="s">
        <v>41</v>
      </c>
      <c r="L102" s="2" t="s">
        <v>223</v>
      </c>
      <c r="M102" s="2" t="s">
        <v>36</v>
      </c>
      <c r="N102" s="2" t="s">
        <v>43</v>
      </c>
      <c r="O102" s="2"/>
    </row>
    <row r="103" spans="1:15" x14ac:dyDescent="0.25">
      <c r="A103" s="10">
        <v>3688</v>
      </c>
      <c r="B103" s="2" t="s">
        <v>44</v>
      </c>
      <c r="C103" s="11" t="s">
        <v>369</v>
      </c>
      <c r="D103" s="2" t="s">
        <v>370</v>
      </c>
      <c r="E103" s="2" t="s">
        <v>61</v>
      </c>
      <c r="F103" s="12" t="str">
        <f>A103&amp;"|"&amp;B103</f>
        <v>3688|1º Mesário</v>
      </c>
      <c r="G103" s="13" t="s">
        <v>371</v>
      </c>
      <c r="H103" s="2" t="s">
        <v>38</v>
      </c>
      <c r="I103" s="2" t="s">
        <v>39</v>
      </c>
      <c r="J103" s="2" t="s">
        <v>40</v>
      </c>
      <c r="K103" s="2" t="s">
        <v>66</v>
      </c>
      <c r="L103" s="2" t="s">
        <v>67</v>
      </c>
      <c r="M103" s="2" t="s">
        <v>61</v>
      </c>
      <c r="N103" s="2" t="s">
        <v>43</v>
      </c>
      <c r="O103" s="2" t="s">
        <v>77</v>
      </c>
    </row>
    <row r="104" spans="1:15" x14ac:dyDescent="0.25">
      <c r="A104" s="10">
        <v>3688</v>
      </c>
      <c r="B104" s="2" t="s">
        <v>48</v>
      </c>
      <c r="C104" s="11"/>
      <c r="D104" s="2" t="s">
        <v>372</v>
      </c>
      <c r="E104" s="2" t="s">
        <v>36</v>
      </c>
      <c r="F104" s="12" t="str">
        <f t="shared" ref="F98:F112" si="1">A104&amp;"|"&amp;B104</f>
        <v>3688|2º Mesário</v>
      </c>
      <c r="G104" s="13" t="s">
        <v>373</v>
      </c>
      <c r="H104" s="2" t="s">
        <v>63</v>
      </c>
      <c r="I104" s="2" t="s">
        <v>64</v>
      </c>
      <c r="J104" s="2" t="s">
        <v>65</v>
      </c>
      <c r="K104" s="2" t="s">
        <v>41</v>
      </c>
      <c r="L104" s="2" t="s">
        <v>42</v>
      </c>
      <c r="M104" s="2" t="s">
        <v>36</v>
      </c>
      <c r="N104" s="2" t="s">
        <v>43</v>
      </c>
      <c r="O104" s="2" t="s">
        <v>87</v>
      </c>
    </row>
    <row r="105" spans="1:15" x14ac:dyDescent="0.25">
      <c r="A105" s="10">
        <v>3688</v>
      </c>
      <c r="B105" s="2" t="s">
        <v>55</v>
      </c>
      <c r="C105" s="11" t="s">
        <v>374</v>
      </c>
      <c r="D105" s="2" t="s">
        <v>375</v>
      </c>
      <c r="E105" s="2" t="s">
        <v>61</v>
      </c>
      <c r="F105" s="12" t="str">
        <f t="shared" si="1"/>
        <v>3688|1º Secretário</v>
      </c>
      <c r="G105" s="13" t="s">
        <v>376</v>
      </c>
      <c r="H105" s="2" t="s">
        <v>38</v>
      </c>
      <c r="I105" s="2" t="s">
        <v>39</v>
      </c>
      <c r="J105" s="2" t="s">
        <v>40</v>
      </c>
      <c r="K105" s="2" t="s">
        <v>41</v>
      </c>
      <c r="L105" s="2" t="s">
        <v>42</v>
      </c>
      <c r="M105" s="2" t="s">
        <v>36</v>
      </c>
      <c r="N105" s="2"/>
      <c r="O105" s="2"/>
    </row>
    <row r="106" spans="1:15" x14ac:dyDescent="0.25">
      <c r="A106" s="10">
        <v>3832</v>
      </c>
      <c r="B106" s="2" t="s">
        <v>33</v>
      </c>
      <c r="C106" s="14" t="s">
        <v>237</v>
      </c>
      <c r="D106" s="2" t="s">
        <v>377</v>
      </c>
      <c r="E106" s="2" t="s">
        <v>36</v>
      </c>
      <c r="F106" s="12" t="str">
        <f t="shared" si="1"/>
        <v>3832|Presidente</v>
      </c>
      <c r="G106" s="13" t="s">
        <v>378</v>
      </c>
      <c r="H106" s="2" t="s">
        <v>38</v>
      </c>
      <c r="I106" s="2" t="s">
        <v>39</v>
      </c>
      <c r="J106" s="2" t="s">
        <v>40</v>
      </c>
      <c r="K106" s="2" t="s">
        <v>41</v>
      </c>
      <c r="L106" s="2" t="s">
        <v>379</v>
      </c>
      <c r="M106" s="2" t="s">
        <v>36</v>
      </c>
      <c r="N106" s="2" t="s">
        <v>43</v>
      </c>
      <c r="O106" s="2" t="s">
        <v>380</v>
      </c>
    </row>
    <row r="107" spans="1:15" x14ac:dyDescent="0.25">
      <c r="A107" s="10">
        <v>3832</v>
      </c>
      <c r="B107" s="2" t="s">
        <v>44</v>
      </c>
      <c r="C107" s="11" t="s">
        <v>381</v>
      </c>
      <c r="D107" s="2" t="s">
        <v>382</v>
      </c>
      <c r="E107" s="2" t="s">
        <v>36</v>
      </c>
      <c r="F107" s="12" t="str">
        <f t="shared" si="1"/>
        <v>3832|1º Mesário</v>
      </c>
      <c r="G107" s="13" t="s">
        <v>383</v>
      </c>
      <c r="H107" s="2" t="s">
        <v>38</v>
      </c>
      <c r="I107" s="2" t="s">
        <v>39</v>
      </c>
      <c r="J107" s="2" t="s">
        <v>40</v>
      </c>
      <c r="K107" s="2" t="s">
        <v>41</v>
      </c>
      <c r="L107" s="2" t="s">
        <v>42</v>
      </c>
      <c r="M107" s="2" t="s">
        <v>36</v>
      </c>
      <c r="N107" s="2" t="s">
        <v>43</v>
      </c>
      <c r="O107" s="2" t="s">
        <v>380</v>
      </c>
    </row>
    <row r="108" spans="1:15" x14ac:dyDescent="0.25">
      <c r="A108" s="10">
        <v>3832</v>
      </c>
      <c r="B108" s="2" t="s">
        <v>48</v>
      </c>
      <c r="C108" s="11" t="s">
        <v>384</v>
      </c>
      <c r="D108" s="2" t="s">
        <v>385</v>
      </c>
      <c r="E108" s="2" t="s">
        <v>36</v>
      </c>
      <c r="F108" s="12" t="str">
        <f t="shared" si="1"/>
        <v>3832|2º Mesário</v>
      </c>
      <c r="G108" s="13" t="s">
        <v>386</v>
      </c>
      <c r="H108" s="2" t="s">
        <v>38</v>
      </c>
      <c r="I108" s="2" t="s">
        <v>39</v>
      </c>
      <c r="J108" s="2" t="s">
        <v>40</v>
      </c>
      <c r="K108" s="2" t="s">
        <v>41</v>
      </c>
      <c r="L108" s="2" t="s">
        <v>42</v>
      </c>
      <c r="M108" s="2" t="s">
        <v>36</v>
      </c>
      <c r="N108" s="2" t="s">
        <v>43</v>
      </c>
      <c r="O108" s="2" t="s">
        <v>380</v>
      </c>
    </row>
    <row r="109" spans="1:15" x14ac:dyDescent="0.25">
      <c r="A109" s="10">
        <v>3832</v>
      </c>
      <c r="B109" s="2" t="s">
        <v>55</v>
      </c>
      <c r="C109" s="11" t="s">
        <v>387</v>
      </c>
      <c r="D109" s="2" t="s">
        <v>388</v>
      </c>
      <c r="E109" s="2" t="s">
        <v>36</v>
      </c>
      <c r="F109" s="12" t="str">
        <f t="shared" si="1"/>
        <v>3832|1º Secretário</v>
      </c>
      <c r="G109" s="13" t="s">
        <v>389</v>
      </c>
      <c r="H109" s="2" t="s">
        <v>38</v>
      </c>
      <c r="I109" s="2" t="s">
        <v>39</v>
      </c>
      <c r="J109" s="2" t="s">
        <v>40</v>
      </c>
      <c r="K109" s="2" t="s">
        <v>41</v>
      </c>
      <c r="L109" s="2" t="s">
        <v>42</v>
      </c>
      <c r="M109" s="2" t="s">
        <v>36</v>
      </c>
      <c r="N109" s="2" t="s">
        <v>43</v>
      </c>
      <c r="O109" s="2" t="s">
        <v>380</v>
      </c>
    </row>
    <row r="110" spans="1:15" x14ac:dyDescent="0.25">
      <c r="A110" s="10">
        <v>3862</v>
      </c>
      <c r="B110" s="2" t="s">
        <v>33</v>
      </c>
      <c r="C110" s="11" t="s">
        <v>390</v>
      </c>
      <c r="D110" s="2" t="s">
        <v>391</v>
      </c>
      <c r="E110" s="2" t="s">
        <v>36</v>
      </c>
      <c r="F110" s="12" t="str">
        <f t="shared" si="1"/>
        <v>3862|Presidente</v>
      </c>
      <c r="G110" s="13" t="s">
        <v>392</v>
      </c>
      <c r="H110" s="2" t="s">
        <v>38</v>
      </c>
      <c r="I110" s="2" t="s">
        <v>39</v>
      </c>
      <c r="J110" s="2" t="s">
        <v>40</v>
      </c>
      <c r="K110" s="2" t="s">
        <v>41</v>
      </c>
      <c r="L110" s="2" t="s">
        <v>42</v>
      </c>
      <c r="M110" s="2" t="s">
        <v>36</v>
      </c>
      <c r="N110" s="2" t="s">
        <v>43</v>
      </c>
      <c r="O110" s="2"/>
    </row>
    <row r="111" spans="1:15" x14ac:dyDescent="0.25">
      <c r="A111" s="10">
        <v>3862</v>
      </c>
      <c r="B111" s="2" t="s">
        <v>44</v>
      </c>
      <c r="C111" s="11" t="s">
        <v>393</v>
      </c>
      <c r="D111" s="2" t="s">
        <v>394</v>
      </c>
      <c r="E111" s="2" t="s">
        <v>36</v>
      </c>
      <c r="F111" s="12" t="str">
        <f t="shared" si="1"/>
        <v>3862|1º Mesário</v>
      </c>
      <c r="G111" s="13" t="s">
        <v>395</v>
      </c>
      <c r="H111" s="2" t="s">
        <v>38</v>
      </c>
      <c r="I111" s="2" t="s">
        <v>39</v>
      </c>
      <c r="J111" s="2" t="s">
        <v>40</v>
      </c>
      <c r="K111" s="2" t="s">
        <v>41</v>
      </c>
      <c r="L111" s="2" t="s">
        <v>42</v>
      </c>
      <c r="M111" s="2" t="s">
        <v>36</v>
      </c>
      <c r="N111" s="2" t="s">
        <v>43</v>
      </c>
      <c r="O111" s="2"/>
    </row>
    <row r="112" spans="1:15" x14ac:dyDescent="0.25">
      <c r="A112" s="10">
        <v>3862</v>
      </c>
      <c r="B112" s="2" t="s">
        <v>55</v>
      </c>
      <c r="C112" s="14" t="s">
        <v>237</v>
      </c>
      <c r="D112" s="2" t="s">
        <v>396</v>
      </c>
      <c r="E112" s="2" t="s">
        <v>36</v>
      </c>
      <c r="F112" s="12" t="str">
        <f t="shared" si="1"/>
        <v>3862|1º Secretário</v>
      </c>
      <c r="G112" s="13" t="s">
        <v>397</v>
      </c>
      <c r="H112" s="2" t="s">
        <v>38</v>
      </c>
      <c r="I112" s="2" t="s">
        <v>39</v>
      </c>
      <c r="J112" s="2" t="s">
        <v>40</v>
      </c>
      <c r="K112" s="2" t="s">
        <v>41</v>
      </c>
      <c r="L112" s="2" t="s">
        <v>42</v>
      </c>
      <c r="M112" s="2" t="s">
        <v>36</v>
      </c>
      <c r="N112" s="2" t="s">
        <v>43</v>
      </c>
      <c r="O112" s="2"/>
    </row>
  </sheetData>
  <autoFilter ref="A1:O112" xr:uid="{00000000-0009-0000-0000-000001000000}">
    <sortState xmlns:xlrd2="http://schemas.microsoft.com/office/spreadsheetml/2017/richdata2" ref="A6:O103">
      <sortCondition ref="M1:M112"/>
    </sortState>
  </autoFilter>
  <conditionalFormatting sqref="A2:E112">
    <cfRule type="expression" dxfId="27" priority="2">
      <formula>$E2="SIM"</formula>
    </cfRule>
    <cfRule type="expression" dxfId="26" priority="3">
      <formula>$E2="NAO"</formula>
    </cfRule>
    <cfRule type="expression" dxfId="25" priority="4">
      <formula>$E2="0006/2026"</formula>
    </cfRule>
    <cfRule type="expression" dxfId="24" priority="5">
      <formula>$E2="-"</formula>
    </cfRule>
  </conditionalFormatting>
  <conditionalFormatting sqref="M2:M112">
    <cfRule type="expression" dxfId="23" priority="6">
      <formula>$M2="SIM"</formula>
    </cfRule>
    <cfRule type="expression" dxfId="22" priority="7">
      <formula>$M2="NAO"</formula>
    </cfRule>
  </conditionalFormatting>
  <conditionalFormatting sqref="N2:N112">
    <cfRule type="expression" dxfId="21" priority="8">
      <formula>$N2&lt;&gt;"OK"</formula>
    </cfRule>
  </conditionalFormatting>
  <dataValidations count="1">
    <dataValidation type="list" allowBlank="1" promptTitle="Presença" prompt="SIM = presente · NAO = ausente · 0006/2026 · &quot;-&quot; = sem registro" sqref="E2:E112" xr:uid="{00000000-0002-0000-0100-000000000000}">
      <formula1>"SIM,NAO,0006/2026,-"</formula1>
      <formula2>0</formula2>
    </dataValidation>
  </dataValidations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  <hyperlink ref="C32" r:id="rId31" xr:uid="{00000000-0004-0000-0100-00001E000000}"/>
    <hyperlink ref="C33" r:id="rId32" xr:uid="{00000000-0004-0000-0100-00001F000000}"/>
    <hyperlink ref="C34" r:id="rId33" xr:uid="{00000000-0004-0000-0100-000020000000}"/>
    <hyperlink ref="C35" r:id="rId34" xr:uid="{00000000-0004-0000-0100-000021000000}"/>
    <hyperlink ref="C36" r:id="rId35" xr:uid="{00000000-0004-0000-0100-000022000000}"/>
    <hyperlink ref="C37" r:id="rId36" xr:uid="{00000000-0004-0000-0100-000023000000}"/>
    <hyperlink ref="C38" r:id="rId37" xr:uid="{00000000-0004-0000-0100-000024000000}"/>
    <hyperlink ref="C39" r:id="rId38" xr:uid="{00000000-0004-0000-0100-000025000000}"/>
    <hyperlink ref="C40" r:id="rId39" xr:uid="{00000000-0004-0000-0100-000026000000}"/>
    <hyperlink ref="C41" r:id="rId40" xr:uid="{00000000-0004-0000-0100-000027000000}"/>
    <hyperlink ref="C42" r:id="rId41" xr:uid="{00000000-0004-0000-0100-000028000000}"/>
    <hyperlink ref="C43" r:id="rId42" xr:uid="{00000000-0004-0000-0100-000029000000}"/>
    <hyperlink ref="C44" r:id="rId43" xr:uid="{00000000-0004-0000-0100-00002A000000}"/>
    <hyperlink ref="C45" r:id="rId44" xr:uid="{00000000-0004-0000-0100-00002B000000}"/>
    <hyperlink ref="C46" r:id="rId45" xr:uid="{00000000-0004-0000-0100-00002C000000}"/>
    <hyperlink ref="C47" r:id="rId46" xr:uid="{00000000-0004-0000-0100-00002D000000}"/>
    <hyperlink ref="C48" r:id="rId47" xr:uid="{00000000-0004-0000-0100-00002E000000}"/>
    <hyperlink ref="C49" r:id="rId48" xr:uid="{00000000-0004-0000-0100-00002F000000}"/>
    <hyperlink ref="C50" r:id="rId49" xr:uid="{00000000-0004-0000-0100-000030000000}"/>
    <hyperlink ref="C51" r:id="rId50" xr:uid="{00000000-0004-0000-0100-000031000000}"/>
    <hyperlink ref="C52" r:id="rId51" xr:uid="{00000000-0004-0000-0100-000032000000}"/>
    <hyperlink ref="C53" r:id="rId52" xr:uid="{00000000-0004-0000-0100-000033000000}"/>
    <hyperlink ref="C54" r:id="rId53" xr:uid="{00000000-0004-0000-0100-000034000000}"/>
    <hyperlink ref="C55" r:id="rId54" xr:uid="{00000000-0004-0000-0100-000035000000}"/>
    <hyperlink ref="C56" r:id="rId55" xr:uid="{00000000-0004-0000-0100-000036000000}"/>
    <hyperlink ref="C57" r:id="rId56" xr:uid="{00000000-0004-0000-0100-000037000000}"/>
    <hyperlink ref="C58" r:id="rId57" xr:uid="{00000000-0004-0000-0100-000038000000}"/>
    <hyperlink ref="C62" r:id="rId58" xr:uid="{00000000-0004-0000-0100-000039000000}"/>
    <hyperlink ref="C63" r:id="rId59" xr:uid="{00000000-0004-0000-0100-00003A000000}"/>
    <hyperlink ref="C64" r:id="rId60" xr:uid="{00000000-0004-0000-0100-00003B000000}"/>
    <hyperlink ref="C65" r:id="rId61" xr:uid="{00000000-0004-0000-0100-00003C000000}"/>
    <hyperlink ref="C67" r:id="rId62" xr:uid="{00000000-0004-0000-0100-00003D000000}"/>
    <hyperlink ref="C68" r:id="rId63" xr:uid="{00000000-0004-0000-0100-00003E000000}"/>
    <hyperlink ref="C69" r:id="rId64" xr:uid="{00000000-0004-0000-0100-00003F000000}"/>
    <hyperlink ref="C70" r:id="rId65" xr:uid="{00000000-0004-0000-0100-000040000000}"/>
    <hyperlink ref="C71" r:id="rId66" xr:uid="{00000000-0004-0000-0100-000041000000}"/>
    <hyperlink ref="C72" r:id="rId67" xr:uid="{00000000-0004-0000-0100-000042000000}"/>
    <hyperlink ref="C73" r:id="rId68" xr:uid="{00000000-0004-0000-0100-000043000000}"/>
    <hyperlink ref="C74" r:id="rId69" xr:uid="{00000000-0004-0000-0100-000044000000}"/>
    <hyperlink ref="C75" r:id="rId70" xr:uid="{00000000-0004-0000-0100-000045000000}"/>
    <hyperlink ref="C76" r:id="rId71" xr:uid="{00000000-0004-0000-0100-000046000000}"/>
    <hyperlink ref="C77" r:id="rId72" xr:uid="{00000000-0004-0000-0100-000047000000}"/>
    <hyperlink ref="C78" r:id="rId73" xr:uid="{00000000-0004-0000-0100-000048000000}"/>
    <hyperlink ref="C79" r:id="rId74" xr:uid="{00000000-0004-0000-0100-000049000000}"/>
    <hyperlink ref="C80" r:id="rId75" xr:uid="{00000000-0004-0000-0100-00004A000000}"/>
    <hyperlink ref="C82" r:id="rId76" xr:uid="{00000000-0004-0000-0100-00004B000000}"/>
    <hyperlink ref="C84" r:id="rId77" xr:uid="{00000000-0004-0000-0100-00004C000000}"/>
    <hyperlink ref="C85" r:id="rId78" xr:uid="{00000000-0004-0000-0100-00004D000000}"/>
    <hyperlink ref="C86" r:id="rId79" xr:uid="{00000000-0004-0000-0100-00004E000000}"/>
    <hyperlink ref="C87" r:id="rId80" xr:uid="{00000000-0004-0000-0100-00004F000000}"/>
    <hyperlink ref="C88" r:id="rId81" xr:uid="{00000000-0004-0000-0100-000050000000}"/>
    <hyperlink ref="C89" r:id="rId82" xr:uid="{00000000-0004-0000-0100-000051000000}"/>
    <hyperlink ref="C90" r:id="rId83" xr:uid="{00000000-0004-0000-0100-000052000000}"/>
    <hyperlink ref="C91" r:id="rId84" xr:uid="{00000000-0004-0000-0100-000053000000}"/>
    <hyperlink ref="C92" r:id="rId85" xr:uid="{00000000-0004-0000-0100-000054000000}"/>
    <hyperlink ref="C93" r:id="rId86" xr:uid="{00000000-0004-0000-0100-000055000000}"/>
    <hyperlink ref="C94" r:id="rId87" xr:uid="{00000000-0004-0000-0100-000056000000}"/>
    <hyperlink ref="C95" r:id="rId88" xr:uid="{00000000-0004-0000-0100-000057000000}"/>
    <hyperlink ref="C97" r:id="rId89" xr:uid="{00000000-0004-0000-0100-000058000000}"/>
    <hyperlink ref="C98" r:id="rId90" xr:uid="{00000000-0004-0000-0100-000059000000}"/>
    <hyperlink ref="C99" r:id="rId91" xr:uid="{00000000-0004-0000-0100-00005A000000}"/>
    <hyperlink ref="C100" r:id="rId92" xr:uid="{00000000-0004-0000-0100-00005B000000}"/>
    <hyperlink ref="C101" r:id="rId93" xr:uid="{00000000-0004-0000-0100-00005C000000}"/>
    <hyperlink ref="C102" r:id="rId94" xr:uid="{00000000-0004-0000-0100-00005D000000}"/>
    <hyperlink ref="C103" r:id="rId95" xr:uid="{00000000-0004-0000-0100-00005E000000}"/>
    <hyperlink ref="C105" r:id="rId96" xr:uid="{00000000-0004-0000-0100-00005F000000}"/>
    <hyperlink ref="C107" r:id="rId97" xr:uid="{00000000-0004-0000-0100-000060000000}"/>
    <hyperlink ref="C108" r:id="rId98" xr:uid="{00000000-0004-0000-0100-000061000000}"/>
    <hyperlink ref="C109" r:id="rId99" xr:uid="{00000000-0004-0000-0100-000062000000}"/>
    <hyperlink ref="C110" r:id="rId100" xr:uid="{00000000-0004-0000-0100-000063000000}"/>
    <hyperlink ref="C111" r:id="rId101" xr:uid="{00000000-0004-0000-0100-000064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8" customWidth="1"/>
    <col min="2" max="2" width="34" customWidth="1"/>
    <col min="3" max="3" width="11" customWidth="1"/>
    <col min="4" max="4" width="34" customWidth="1"/>
    <col min="5" max="5" width="11" customWidth="1"/>
    <col min="6" max="6" width="34" customWidth="1"/>
    <col min="7" max="7" width="11" customWidth="1"/>
    <col min="8" max="8" width="34" customWidth="1"/>
    <col min="9" max="9" width="11" customWidth="1"/>
    <col min="10" max="11" width="10" customWidth="1"/>
    <col min="12" max="12" width="9" customWidth="1"/>
    <col min="13" max="13" width="26" customWidth="1"/>
    <col min="14" max="14" width="11" customWidth="1"/>
    <col min="15" max="15" width="9" customWidth="1"/>
  </cols>
  <sheetData>
    <row r="1" spans="1:15" ht="30" customHeight="1" x14ac:dyDescent="0.25">
      <c r="A1" s="15" t="s">
        <v>19</v>
      </c>
      <c r="B1" s="15" t="s">
        <v>33</v>
      </c>
      <c r="C1" s="15" t="s">
        <v>398</v>
      </c>
      <c r="D1" s="15" t="s">
        <v>44</v>
      </c>
      <c r="E1" s="15" t="s">
        <v>398</v>
      </c>
      <c r="F1" s="15" t="s">
        <v>48</v>
      </c>
      <c r="G1" s="15" t="s">
        <v>398</v>
      </c>
      <c r="H1" s="15" t="s">
        <v>55</v>
      </c>
      <c r="I1" s="15" t="s">
        <v>398</v>
      </c>
      <c r="J1" s="15" t="s">
        <v>399</v>
      </c>
      <c r="K1" s="15" t="s">
        <v>400</v>
      </c>
      <c r="L1" s="15" t="s">
        <v>401</v>
      </c>
      <c r="M1" s="15" t="s">
        <v>402</v>
      </c>
      <c r="N1" s="15" t="s">
        <v>403</v>
      </c>
      <c r="O1" s="15" t="s">
        <v>404</v>
      </c>
    </row>
    <row r="2" spans="1:15" x14ac:dyDescent="0.25">
      <c r="A2" s="16">
        <f>'Por secao'!A2</f>
        <v>511</v>
      </c>
      <c r="B2" s="17" t="str">
        <f>IFERROR(INDEX(Mesarios!$D$2:$D$112,MATCH($A2&amp;"|"&amp;B$1,Mesarios!$F$2:$F$112,0)),"VAGO")</f>
        <v>FELIPE PEREIRA DE SOUZA GUSTAVO</v>
      </c>
      <c r="C2" s="18" t="str">
        <f>IFERROR(INDEX(Mesarios!$M$2:$M$112,MATCH($A2&amp;"|"&amp;B$1,Mesarios!$F$2:$F$112,0)),"VAGO")</f>
        <v>SIM</v>
      </c>
      <c r="D2" s="17" t="str">
        <f>IFERROR(INDEX(Mesarios!$D$2:$D$112,MATCH($A2&amp;"|"&amp;D$1,Mesarios!$F$2:$F$112,0)),"VAGO")</f>
        <v>ERIC DA SILVA MEDEIROS</v>
      </c>
      <c r="E2" s="18" t="str">
        <f>IFERROR(INDEX(Mesarios!$M$2:$M$112,MATCH($A2&amp;"|"&amp;D$1,Mesarios!$F$2:$F$112,0)),"VAGO")</f>
        <v>SIM</v>
      </c>
      <c r="F2" s="17" t="str">
        <f>IFERROR(INDEX(Mesarios!$D$2:$D$112,MATCH($A2&amp;"|"&amp;F$1,Mesarios!$F$2:$F$112,0)),"VAGO")</f>
        <v>LUDMILA MAIA MACIEL</v>
      </c>
      <c r="G2" s="18" t="str">
        <f>IFERROR(INDEX(Mesarios!$M$2:$M$112,MATCH($A2&amp;"|"&amp;F$1,Mesarios!$F$2:$F$112,0)),"VAGO")</f>
        <v>SIM</v>
      </c>
      <c r="H2" s="17" t="str">
        <f>IFERROR(INDEX(Mesarios!$D$2:$D$112,MATCH($A2&amp;"|"&amp;H$1,Mesarios!$F$2:$F$112,0)),"VAGO")</f>
        <v>BEATRIZ CARACANHA BERTOCCO</v>
      </c>
      <c r="I2" s="18" t="str">
        <f>IFERROR(INDEX(Mesarios!$M$2:$M$112,MATCH($A2&amp;"|"&amp;H$1,Mesarios!$F$2:$F$112,0)),"VAGO")</f>
        <v>SIM</v>
      </c>
      <c r="J2" s="18">
        <f t="shared" ref="J2:J29" si="0">COUNTIF(C2:I2,"SIM")</f>
        <v>4</v>
      </c>
      <c r="K2" s="18">
        <f t="shared" ref="K2:K29" si="1">COUNTIF(C2:I2,"NAO")</f>
        <v>0</v>
      </c>
      <c r="L2" s="18">
        <f t="shared" ref="L2:L29" si="2">COUNTIF(C2:I2,"0006/2026")+COUNTIF(C2:I2,"-")</f>
        <v>0</v>
      </c>
      <c r="M2" s="17" t="str">
        <f t="shared" ref="M2:M29" si="3">IF(J2&gt;=4,"Mesa completa",IF(J2=3,"Falta 1","ATENÇÃO: só "&amp;J2&amp;" presentes"))</f>
        <v>Mesa completa</v>
      </c>
      <c r="N2" s="19">
        <f>'Por secao'!N2</f>
        <v>375</v>
      </c>
      <c r="O2" s="18" t="str">
        <f>'Por secao'!O2</f>
        <v>Baixo</v>
      </c>
    </row>
    <row r="3" spans="1:15" x14ac:dyDescent="0.25">
      <c r="A3" s="16">
        <f>'Por secao'!A3</f>
        <v>512</v>
      </c>
      <c r="B3" s="17" t="str">
        <f>IFERROR(INDEX(Mesarios!$D$2:$D$112,MATCH($A3&amp;"|"&amp;B$1,Mesarios!$F$2:$F$112,0)),"VAGO")</f>
        <v>ANA CLAUDIA MAZUROK</v>
      </c>
      <c r="C3" s="18" t="str">
        <f>IFERROR(INDEX(Mesarios!$M$2:$M$112,MATCH($A3&amp;"|"&amp;B$1,Mesarios!$F$2:$F$112,0)),"VAGO")</f>
        <v>NAO</v>
      </c>
      <c r="D3" s="17" t="str">
        <f>IFERROR(INDEX(Mesarios!$D$2:$D$112,MATCH($A3&amp;"|"&amp;D$1,Mesarios!$F$2:$F$112,0)),"VAGO")</f>
        <v>CAIO CESAR ROSSITER</v>
      </c>
      <c r="E3" s="18" t="str">
        <f>IFERROR(INDEX(Mesarios!$M$2:$M$112,MATCH($A3&amp;"|"&amp;D$1,Mesarios!$F$2:$F$112,0)),"VAGO")</f>
        <v>SIM</v>
      </c>
      <c r="F3" s="17" t="str">
        <f>IFERROR(INDEX(Mesarios!$D$2:$D$112,MATCH($A3&amp;"|"&amp;F$1,Mesarios!$F$2:$F$112,0)),"VAGO")</f>
        <v>CAMILA MOURA MARTINS</v>
      </c>
      <c r="G3" s="18" t="str">
        <f>IFERROR(INDEX(Mesarios!$M$2:$M$112,MATCH($A3&amp;"|"&amp;F$1,Mesarios!$F$2:$F$112,0)),"VAGO")</f>
        <v>SIM</v>
      </c>
      <c r="H3" s="17" t="str">
        <f>IFERROR(INDEX(Mesarios!$D$2:$D$112,MATCH($A3&amp;"|"&amp;H$1,Mesarios!$F$2:$F$112,0)),"VAGO")</f>
        <v>THAISA BERNARDES BUENO FELIX</v>
      </c>
      <c r="I3" s="18" t="str">
        <f>IFERROR(INDEX(Mesarios!$M$2:$M$112,MATCH($A3&amp;"|"&amp;H$1,Mesarios!$F$2:$F$112,0)),"VAGO")</f>
        <v>NAO</v>
      </c>
      <c r="J3" s="18">
        <f t="shared" si="0"/>
        <v>2</v>
      </c>
      <c r="K3" s="18">
        <f t="shared" si="1"/>
        <v>2</v>
      </c>
      <c r="L3" s="18">
        <f t="shared" si="2"/>
        <v>0</v>
      </c>
      <c r="M3" s="17" t="str">
        <f t="shared" si="3"/>
        <v>ATENÇÃO: só 2 presentes</v>
      </c>
      <c r="N3" s="19">
        <f>'Por secao'!N3</f>
        <v>355</v>
      </c>
      <c r="O3" s="18" t="str">
        <f>'Por secao'!O3</f>
        <v>Baixo</v>
      </c>
    </row>
    <row r="4" spans="1:15" x14ac:dyDescent="0.25">
      <c r="A4" s="16">
        <f>'Por secao'!A4</f>
        <v>513</v>
      </c>
      <c r="B4" s="17" t="str">
        <f>IFERROR(INDEX(Mesarios!$D$2:$D$112,MATCH($A4&amp;"|"&amp;B$1,Mesarios!$F$2:$F$112,0)),"VAGO")</f>
        <v>BIANCA ARAGONE RODRIGUES GOULART</v>
      </c>
      <c r="C4" s="18" t="str">
        <f>IFERROR(INDEX(Mesarios!$M$2:$M$112,MATCH($A4&amp;"|"&amp;B$1,Mesarios!$F$2:$F$112,0)),"VAGO")</f>
        <v>NAO</v>
      </c>
      <c r="D4" s="17" t="str">
        <f>IFERROR(INDEX(Mesarios!$D$2:$D$112,MATCH($A4&amp;"|"&amp;D$1,Mesarios!$F$2:$F$112,0)),"VAGO")</f>
        <v>LUIZ HENRIQUE DE SOUSA SMANIA</v>
      </c>
      <c r="E4" s="18" t="str">
        <f>IFERROR(INDEX(Mesarios!$M$2:$M$112,MATCH($A4&amp;"|"&amp;D$1,Mesarios!$F$2:$F$112,0)),"VAGO")</f>
        <v>SIM</v>
      </c>
      <c r="F4" s="17" t="str">
        <f>IFERROR(INDEX(Mesarios!$D$2:$D$112,MATCH($A4&amp;"|"&amp;F$1,Mesarios!$F$2:$F$112,0)),"VAGO")</f>
        <v>ISABELA FERNANDES BATTISTI PETRIS</v>
      </c>
      <c r="G4" s="18" t="str">
        <f>IFERROR(INDEX(Mesarios!$M$2:$M$112,MATCH($A4&amp;"|"&amp;F$1,Mesarios!$F$2:$F$112,0)),"VAGO")</f>
        <v>SIM</v>
      </c>
      <c r="H4" s="17" t="str">
        <f>IFERROR(INDEX(Mesarios!$D$2:$D$112,MATCH($A4&amp;"|"&amp;H$1,Mesarios!$F$2:$F$112,0)),"VAGO")</f>
        <v>ALINE BARROS DE LIRA</v>
      </c>
      <c r="I4" s="18" t="str">
        <f>IFERROR(INDEX(Mesarios!$M$2:$M$112,MATCH($A4&amp;"|"&amp;H$1,Mesarios!$F$2:$F$112,0)),"VAGO")</f>
        <v>NAO</v>
      </c>
      <c r="J4" s="18">
        <f t="shared" si="0"/>
        <v>2</v>
      </c>
      <c r="K4" s="18">
        <f t="shared" si="1"/>
        <v>2</v>
      </c>
      <c r="L4" s="18">
        <f t="shared" si="2"/>
        <v>0</v>
      </c>
      <c r="M4" s="17" t="str">
        <f t="shared" si="3"/>
        <v>ATENÇÃO: só 2 presentes</v>
      </c>
      <c r="N4" s="19">
        <f>'Por secao'!N4</f>
        <v>351</v>
      </c>
      <c r="O4" s="18" t="str">
        <f>'Por secao'!O4</f>
        <v>Baixo</v>
      </c>
    </row>
    <row r="5" spans="1:15" x14ac:dyDescent="0.25">
      <c r="A5" s="16">
        <f>'Por secao'!A5</f>
        <v>517</v>
      </c>
      <c r="B5" s="17" t="str">
        <f>IFERROR(INDEX(Mesarios!$D$2:$D$112,MATCH($A5&amp;"|"&amp;B$1,Mesarios!$F$2:$F$112,0)),"VAGO")</f>
        <v>DAIANE LEAL GOMES</v>
      </c>
      <c r="C5" s="18" t="str">
        <f>IFERROR(INDEX(Mesarios!$M$2:$M$112,MATCH($A5&amp;"|"&amp;B$1,Mesarios!$F$2:$F$112,0)),"VAGO")</f>
        <v>SIM</v>
      </c>
      <c r="D5" s="17" t="str">
        <f>IFERROR(INDEX(Mesarios!$D$2:$D$112,MATCH($A5&amp;"|"&amp;D$1,Mesarios!$F$2:$F$112,0)),"VAGO")</f>
        <v>CINTHIA RODRIGUES DE ALMEIDA</v>
      </c>
      <c r="E5" s="18" t="str">
        <f>IFERROR(INDEX(Mesarios!$M$2:$M$112,MATCH($A5&amp;"|"&amp;D$1,Mesarios!$F$2:$F$112,0)),"VAGO")</f>
        <v>SIM</v>
      </c>
      <c r="F5" s="17" t="str">
        <f>IFERROR(INDEX(Mesarios!$D$2:$D$112,MATCH($A5&amp;"|"&amp;F$1,Mesarios!$F$2:$F$112,0)),"VAGO")</f>
        <v>RAFAEL DRUMMOND RODRIGUES</v>
      </c>
      <c r="G5" s="18" t="str">
        <f>IFERROR(INDEX(Mesarios!$M$2:$M$112,MATCH($A5&amp;"|"&amp;F$1,Mesarios!$F$2:$F$112,0)),"VAGO")</f>
        <v>SIM</v>
      </c>
      <c r="H5" s="17" t="str">
        <f>IFERROR(INDEX(Mesarios!$D$2:$D$112,MATCH($A5&amp;"|"&amp;H$1,Mesarios!$F$2:$F$112,0)),"VAGO")</f>
        <v>MARIANA MACIEL DOS SANTOS SOUZA</v>
      </c>
      <c r="I5" s="18" t="str">
        <f>IFERROR(INDEX(Mesarios!$M$2:$M$112,MATCH($A5&amp;"|"&amp;H$1,Mesarios!$F$2:$F$112,0)),"VAGO")</f>
        <v>SIM</v>
      </c>
      <c r="J5" s="18">
        <f t="shared" si="0"/>
        <v>4</v>
      </c>
      <c r="K5" s="18">
        <f t="shared" si="1"/>
        <v>0</v>
      </c>
      <c r="L5" s="18">
        <f t="shared" si="2"/>
        <v>0</v>
      </c>
      <c r="M5" s="17" t="str">
        <f t="shared" si="3"/>
        <v>Mesa completa</v>
      </c>
      <c r="N5" s="19">
        <f>'Por secao'!N5</f>
        <v>348</v>
      </c>
      <c r="O5" s="18" t="str">
        <f>'Por secao'!O5</f>
        <v>Baixo</v>
      </c>
    </row>
    <row r="6" spans="1:15" x14ac:dyDescent="0.25">
      <c r="A6" s="16">
        <f>'Por secao'!A6</f>
        <v>1160</v>
      </c>
      <c r="B6" s="17" t="str">
        <f>IFERROR(INDEX(Mesarios!$D$2:$D$112,MATCH($A6&amp;"|"&amp;B$1,Mesarios!$F$2:$F$112,0)),"VAGO")</f>
        <v>PAMELA NASCIMENTO DA SILVA</v>
      </c>
      <c r="C6" s="18" t="str">
        <f>IFERROR(INDEX(Mesarios!$M$2:$M$112,MATCH($A6&amp;"|"&amp;B$1,Mesarios!$F$2:$F$112,0)),"VAGO")</f>
        <v>SIM</v>
      </c>
      <c r="D6" s="17" t="str">
        <f>IFERROR(INDEX(Mesarios!$D$2:$D$112,MATCH($A6&amp;"|"&amp;D$1,Mesarios!$F$2:$F$112,0)),"VAGO")</f>
        <v>ARTHUR GRIZ FERREIRA</v>
      </c>
      <c r="E6" s="18" t="str">
        <f>IFERROR(INDEX(Mesarios!$M$2:$M$112,MATCH($A6&amp;"|"&amp;D$1,Mesarios!$F$2:$F$112,0)),"VAGO")</f>
        <v>SIM</v>
      </c>
      <c r="F6" s="17" t="str">
        <f>IFERROR(INDEX(Mesarios!$D$2:$D$112,MATCH($A6&amp;"|"&amp;F$1,Mesarios!$F$2:$F$112,0)),"VAGO")</f>
        <v>CRISLAINE DE SOUZA ALMEIDA</v>
      </c>
      <c r="G6" s="18" t="str">
        <f>IFERROR(INDEX(Mesarios!$M$2:$M$112,MATCH($A6&amp;"|"&amp;F$1,Mesarios!$F$2:$F$112,0)),"VAGO")</f>
        <v>SIM</v>
      </c>
      <c r="H6" s="17" t="str">
        <f>IFERROR(INDEX(Mesarios!$D$2:$D$112,MATCH($A6&amp;"|"&amp;H$1,Mesarios!$F$2:$F$112,0)),"VAGO")</f>
        <v>CINTIA DOS SANTOS</v>
      </c>
      <c r="I6" s="18" t="str">
        <f>IFERROR(INDEX(Mesarios!$M$2:$M$112,MATCH($A6&amp;"|"&amp;H$1,Mesarios!$F$2:$F$112,0)),"VAGO")</f>
        <v>SIM</v>
      </c>
      <c r="J6" s="18">
        <f t="shared" si="0"/>
        <v>4</v>
      </c>
      <c r="K6" s="18">
        <f t="shared" si="1"/>
        <v>0</v>
      </c>
      <c r="L6" s="18">
        <f t="shared" si="2"/>
        <v>0</v>
      </c>
      <c r="M6" s="17" t="str">
        <f t="shared" si="3"/>
        <v>Mesa completa</v>
      </c>
      <c r="N6" s="19">
        <f>'Por secao'!N6</f>
        <v>328</v>
      </c>
      <c r="O6" s="18" t="str">
        <f>'Por secao'!O6</f>
        <v>Baixo</v>
      </c>
    </row>
    <row r="7" spans="1:15" x14ac:dyDescent="0.25">
      <c r="A7" s="16">
        <f>'Por secao'!A7</f>
        <v>1352</v>
      </c>
      <c r="B7" s="17" t="str">
        <f>IFERROR(INDEX(Mesarios!$D$2:$D$112,MATCH($A7&amp;"|"&amp;B$1,Mesarios!$F$2:$F$112,0)),"VAGO")</f>
        <v>NAYARA GIROTO MENDES</v>
      </c>
      <c r="C7" s="18" t="str">
        <f>IFERROR(INDEX(Mesarios!$M$2:$M$112,MATCH($A7&amp;"|"&amp;B$1,Mesarios!$F$2:$F$112,0)),"VAGO")</f>
        <v>SIM</v>
      </c>
      <c r="D7" s="17" t="str">
        <f>IFERROR(INDEX(Mesarios!$D$2:$D$112,MATCH($A7&amp;"|"&amp;D$1,Mesarios!$F$2:$F$112,0)),"VAGO")</f>
        <v>JESSICA DE OLIVEIRA</v>
      </c>
      <c r="E7" s="18" t="str">
        <f>IFERROR(INDEX(Mesarios!$M$2:$M$112,MATCH($A7&amp;"|"&amp;D$1,Mesarios!$F$2:$F$112,0)),"VAGO")</f>
        <v>SIM</v>
      </c>
      <c r="F7" s="17" t="str">
        <f>IFERROR(INDEX(Mesarios!$D$2:$D$112,MATCH($A7&amp;"|"&amp;F$1,Mesarios!$F$2:$F$112,0)),"VAGO")</f>
        <v>ANA PAULA DA SILVA ELIAS</v>
      </c>
      <c r="G7" s="18" t="str">
        <f>IFERROR(INDEX(Mesarios!$M$2:$M$112,MATCH($A7&amp;"|"&amp;F$1,Mesarios!$F$2:$F$112,0)),"VAGO")</f>
        <v>SIM</v>
      </c>
      <c r="H7" s="17" t="str">
        <f>IFERROR(INDEX(Mesarios!$D$2:$D$112,MATCH($A7&amp;"|"&amp;H$1,Mesarios!$F$2:$F$112,0)),"VAGO")</f>
        <v>DENER AUGUSTO SALES MACHADO</v>
      </c>
      <c r="I7" s="18" t="str">
        <f>IFERROR(INDEX(Mesarios!$M$2:$M$112,MATCH($A7&amp;"|"&amp;H$1,Mesarios!$F$2:$F$112,0)),"VAGO")</f>
        <v>SIM</v>
      </c>
      <c r="J7" s="18">
        <f t="shared" si="0"/>
        <v>4</v>
      </c>
      <c r="K7" s="18">
        <f t="shared" si="1"/>
        <v>0</v>
      </c>
      <c r="L7" s="18">
        <f t="shared" si="2"/>
        <v>0</v>
      </c>
      <c r="M7" s="17" t="str">
        <f t="shared" si="3"/>
        <v>Mesa completa</v>
      </c>
      <c r="N7" s="19">
        <f>'Por secao'!N7</f>
        <v>328</v>
      </c>
      <c r="O7" s="18" t="str">
        <f>'Por secao'!O7</f>
        <v>Baixo</v>
      </c>
    </row>
    <row r="8" spans="1:15" x14ac:dyDescent="0.25">
      <c r="A8" s="16">
        <f>'Por secao'!A8</f>
        <v>3054</v>
      </c>
      <c r="B8" s="17" t="str">
        <f>IFERROR(INDEX(Mesarios!$D$2:$D$112,MATCH($A8&amp;"|"&amp;B$1,Mesarios!$F$2:$F$112,0)),"VAGO")</f>
        <v>FABIOLA CRISTIANE DA SILVA MALTA</v>
      </c>
      <c r="C8" s="18" t="str">
        <f>IFERROR(INDEX(Mesarios!$M$2:$M$112,MATCH($A8&amp;"|"&amp;B$1,Mesarios!$F$2:$F$112,0)),"VAGO")</f>
        <v>SIM</v>
      </c>
      <c r="D8" s="17" t="str">
        <f>IFERROR(INDEX(Mesarios!$D$2:$D$112,MATCH($A8&amp;"|"&amp;D$1,Mesarios!$F$2:$F$112,0)),"VAGO")</f>
        <v>WELLINGTON DOS SANTOS</v>
      </c>
      <c r="E8" s="18" t="str">
        <f>IFERROR(INDEX(Mesarios!$M$2:$M$112,MATCH($A8&amp;"|"&amp;D$1,Mesarios!$F$2:$F$112,0)),"VAGO")</f>
        <v>SIM</v>
      </c>
      <c r="F8" s="17" t="str">
        <f>IFERROR(INDEX(Mesarios!$D$2:$D$112,MATCH($A8&amp;"|"&amp;F$1,Mesarios!$F$2:$F$112,0)),"VAGO")</f>
        <v>EDINEIA DE ALMEIDA GOMES</v>
      </c>
      <c r="G8" s="18" t="str">
        <f>IFERROR(INDEX(Mesarios!$M$2:$M$112,MATCH($A8&amp;"|"&amp;F$1,Mesarios!$F$2:$F$112,0)),"VAGO")</f>
        <v>NAO</v>
      </c>
      <c r="H8" s="17" t="str">
        <f>IFERROR(INDEX(Mesarios!$D$2:$D$112,MATCH($A8&amp;"|"&amp;H$1,Mesarios!$F$2:$F$112,0)),"VAGO")</f>
        <v>GABRIEL SOARES DE CARVALHO</v>
      </c>
      <c r="I8" s="18" t="str">
        <f>IFERROR(INDEX(Mesarios!$M$2:$M$112,MATCH($A8&amp;"|"&amp;H$1,Mesarios!$F$2:$F$112,0)),"VAGO")</f>
        <v>SIM</v>
      </c>
      <c r="J8" s="18">
        <f t="shared" si="0"/>
        <v>3</v>
      </c>
      <c r="K8" s="18">
        <f t="shared" si="1"/>
        <v>1</v>
      </c>
      <c r="L8" s="18">
        <f t="shared" si="2"/>
        <v>0</v>
      </c>
      <c r="M8" s="17" t="str">
        <f t="shared" si="3"/>
        <v>Falta 1</v>
      </c>
      <c r="N8" s="19">
        <f>'Por secao'!N8</f>
        <v>325</v>
      </c>
      <c r="O8" s="18" t="str">
        <f>'Por secao'!O8</f>
        <v>Baixo</v>
      </c>
    </row>
    <row r="9" spans="1:15" x14ac:dyDescent="0.25">
      <c r="A9" s="16">
        <f>'Por secao'!A9</f>
        <v>3078</v>
      </c>
      <c r="B9" s="17" t="str">
        <f>IFERROR(INDEX(Mesarios!$D$2:$D$112,MATCH($A9&amp;"|"&amp;B$1,Mesarios!$F$2:$F$112,0)),"VAGO")</f>
        <v>TULIO CARLOS DE MOURA NEVES</v>
      </c>
      <c r="C9" s="18" t="str">
        <f>IFERROR(INDEX(Mesarios!$M$2:$M$112,MATCH($A9&amp;"|"&amp;B$1,Mesarios!$F$2:$F$112,0)),"VAGO")</f>
        <v>SIM</v>
      </c>
      <c r="D9" s="17" t="str">
        <f>IFERROR(INDEX(Mesarios!$D$2:$D$112,MATCH($A9&amp;"|"&amp;D$1,Mesarios!$F$2:$F$112,0)),"VAGO")</f>
        <v>TATIANE CRISTINA FREGNANI</v>
      </c>
      <c r="E9" s="18" t="str">
        <f>IFERROR(INDEX(Mesarios!$M$2:$M$112,MATCH($A9&amp;"|"&amp;D$1,Mesarios!$F$2:$F$112,0)),"VAGO")</f>
        <v>SIM</v>
      </c>
      <c r="F9" s="17" t="str">
        <f>IFERROR(INDEX(Mesarios!$D$2:$D$112,MATCH($A9&amp;"|"&amp;F$1,Mesarios!$F$2:$F$112,0)),"VAGO")</f>
        <v>DANIELA LIMA DE MELO CARETTE</v>
      </c>
      <c r="G9" s="18" t="str">
        <f>IFERROR(INDEX(Mesarios!$M$2:$M$112,MATCH($A9&amp;"|"&amp;F$1,Mesarios!$F$2:$F$112,0)),"VAGO")</f>
        <v>SIM</v>
      </c>
      <c r="H9" s="17" t="str">
        <f>IFERROR(INDEX(Mesarios!$D$2:$D$112,MATCH($A9&amp;"|"&amp;H$1,Mesarios!$F$2:$F$112,0)),"VAGO")</f>
        <v>MATHEUS PASSOS MENDES</v>
      </c>
      <c r="I9" s="18" t="str">
        <f>IFERROR(INDEX(Mesarios!$M$2:$M$112,MATCH($A9&amp;"|"&amp;H$1,Mesarios!$F$2:$F$112,0)),"VAGO")</f>
        <v>SIM</v>
      </c>
      <c r="J9" s="18">
        <f t="shared" si="0"/>
        <v>4</v>
      </c>
      <c r="K9" s="18">
        <f t="shared" si="1"/>
        <v>0</v>
      </c>
      <c r="L9" s="18">
        <f t="shared" si="2"/>
        <v>0</v>
      </c>
      <c r="M9" s="17" t="str">
        <f t="shared" si="3"/>
        <v>Mesa completa</v>
      </c>
      <c r="N9" s="19">
        <f>'Por secao'!N9</f>
        <v>311</v>
      </c>
      <c r="O9" s="18" t="str">
        <f>'Por secao'!O9</f>
        <v>Baixo</v>
      </c>
    </row>
    <row r="10" spans="1:15" x14ac:dyDescent="0.25">
      <c r="A10" s="16">
        <f>'Por secao'!A10</f>
        <v>3108</v>
      </c>
      <c r="B10" s="17" t="str">
        <f>IFERROR(INDEX(Mesarios!$D$2:$D$112,MATCH($A10&amp;"|"&amp;B$1,Mesarios!$F$2:$F$112,0)),"VAGO")</f>
        <v>FERNANDA LIMA HERMANSON CARVALHO LOPES</v>
      </c>
      <c r="C10" s="18" t="str">
        <f>IFERROR(INDEX(Mesarios!$M$2:$M$112,MATCH($A10&amp;"|"&amp;B$1,Mesarios!$F$2:$F$112,0)),"VAGO")</f>
        <v>SIM</v>
      </c>
      <c r="D10" s="17" t="str">
        <f>IFERROR(INDEX(Mesarios!$D$2:$D$112,MATCH($A10&amp;"|"&amp;D$1,Mesarios!$F$2:$F$112,0)),"VAGO")</f>
        <v>DANIEL DOS SANTOS JORGE</v>
      </c>
      <c r="E10" s="18" t="str">
        <f>IFERROR(INDEX(Mesarios!$M$2:$M$112,MATCH($A10&amp;"|"&amp;D$1,Mesarios!$F$2:$F$112,0)),"VAGO")</f>
        <v>NAO</v>
      </c>
      <c r="F10" s="17" t="str">
        <f>IFERROR(INDEX(Mesarios!$D$2:$D$112,MATCH($A10&amp;"|"&amp;F$1,Mesarios!$F$2:$F$112,0)),"VAGO")</f>
        <v>INGRID MACHADO DOS REIS</v>
      </c>
      <c r="G10" s="18" t="str">
        <f>IFERROR(INDEX(Mesarios!$M$2:$M$112,MATCH($A10&amp;"|"&amp;F$1,Mesarios!$F$2:$F$112,0)),"VAGO")</f>
        <v>SIM</v>
      </c>
      <c r="H10" s="17" t="str">
        <f>IFERROR(INDEX(Mesarios!$D$2:$D$112,MATCH($A10&amp;"|"&amp;H$1,Mesarios!$F$2:$F$112,0)),"VAGO")</f>
        <v>DANIELA HADWIG DULLIUS</v>
      </c>
      <c r="I10" s="18" t="str">
        <f>IFERROR(INDEX(Mesarios!$M$2:$M$112,MATCH($A10&amp;"|"&amp;H$1,Mesarios!$F$2:$F$112,0)),"VAGO")</f>
        <v>SIM</v>
      </c>
      <c r="J10" s="18">
        <f t="shared" si="0"/>
        <v>3</v>
      </c>
      <c r="K10" s="18">
        <f t="shared" si="1"/>
        <v>1</v>
      </c>
      <c r="L10" s="18">
        <f t="shared" si="2"/>
        <v>0</v>
      </c>
      <c r="M10" s="17" t="str">
        <f t="shared" si="3"/>
        <v>Falta 1</v>
      </c>
      <c r="N10" s="19">
        <f>'Por secao'!N10</f>
        <v>467</v>
      </c>
      <c r="O10" s="18" t="str">
        <f>'Por secao'!O10</f>
        <v>Médio</v>
      </c>
    </row>
    <row r="11" spans="1:15" x14ac:dyDescent="0.25">
      <c r="A11" s="16">
        <f>'Por secao'!A11</f>
        <v>3142</v>
      </c>
      <c r="B11" s="17" t="str">
        <f>IFERROR(INDEX(Mesarios!$D$2:$D$112,MATCH($A11&amp;"|"&amp;B$1,Mesarios!$F$2:$F$112,0)),"VAGO")</f>
        <v>BEATRIZ GILLI HADG KARKACHI</v>
      </c>
      <c r="C11" s="18" t="str">
        <f>IFERROR(INDEX(Mesarios!$M$2:$M$112,MATCH($A11&amp;"|"&amp;B$1,Mesarios!$F$2:$F$112,0)),"VAGO")</f>
        <v>SIM</v>
      </c>
      <c r="D11" s="17" t="str">
        <f>IFERROR(INDEX(Mesarios!$D$2:$D$112,MATCH($A11&amp;"|"&amp;D$1,Mesarios!$F$2:$F$112,0)),"VAGO")</f>
        <v>ANABELLA ALVES DE CASTRO</v>
      </c>
      <c r="E11" s="18" t="str">
        <f>IFERROR(INDEX(Mesarios!$M$2:$M$112,MATCH($A11&amp;"|"&amp;D$1,Mesarios!$F$2:$F$112,0)),"VAGO")</f>
        <v>SIM</v>
      </c>
      <c r="F11" s="17" t="str">
        <f>IFERROR(INDEX(Mesarios!$D$2:$D$112,MATCH($A11&amp;"|"&amp;F$1,Mesarios!$F$2:$F$112,0)),"VAGO")</f>
        <v>JULIANA CASSIA TAVARES DE SOUSA</v>
      </c>
      <c r="G11" s="18" t="str">
        <f>IFERROR(INDEX(Mesarios!$M$2:$M$112,MATCH($A11&amp;"|"&amp;F$1,Mesarios!$F$2:$F$112,0)),"VAGO")</f>
        <v>SIM</v>
      </c>
      <c r="H11" s="17" t="str">
        <f>IFERROR(INDEX(Mesarios!$D$2:$D$112,MATCH($A11&amp;"|"&amp;H$1,Mesarios!$F$2:$F$112,0)),"VAGO")</f>
        <v>LINCOLN CUBAS GUEDES</v>
      </c>
      <c r="I11" s="18" t="str">
        <f>IFERROR(INDEX(Mesarios!$M$2:$M$112,MATCH($A11&amp;"|"&amp;H$1,Mesarios!$F$2:$F$112,0)),"VAGO")</f>
        <v>NAO</v>
      </c>
      <c r="J11" s="18">
        <f t="shared" si="0"/>
        <v>3</v>
      </c>
      <c r="K11" s="18">
        <f t="shared" si="1"/>
        <v>1</v>
      </c>
      <c r="L11" s="18">
        <f t="shared" si="2"/>
        <v>0</v>
      </c>
      <c r="M11" s="17" t="str">
        <f t="shared" si="3"/>
        <v>Falta 1</v>
      </c>
      <c r="N11" s="19">
        <f>'Por secao'!N11</f>
        <v>466</v>
      </c>
      <c r="O11" s="18" t="str">
        <f>'Por secao'!O11</f>
        <v>Médio</v>
      </c>
    </row>
    <row r="12" spans="1:15" x14ac:dyDescent="0.25">
      <c r="A12" s="16">
        <f>'Por secao'!A12</f>
        <v>3161</v>
      </c>
      <c r="B12" s="17" t="str">
        <f>IFERROR(INDEX(Mesarios!$D$2:$D$112,MATCH($A12&amp;"|"&amp;B$1,Mesarios!$F$2:$F$112,0)),"VAGO")</f>
        <v>MARCELA TIYOKO PASSOS KONDO</v>
      </c>
      <c r="C12" s="18" t="str">
        <f>IFERROR(INDEX(Mesarios!$M$2:$M$112,MATCH($A12&amp;"|"&amp;B$1,Mesarios!$F$2:$F$112,0)),"VAGO")</f>
        <v>NAO</v>
      </c>
      <c r="D12" s="17" t="str">
        <f>IFERROR(INDEX(Mesarios!$D$2:$D$112,MATCH($A12&amp;"|"&amp;D$1,Mesarios!$F$2:$F$112,0)),"VAGO")</f>
        <v>TALITA MORTARI MONTYSUMA</v>
      </c>
      <c r="E12" s="18" t="str">
        <f>IFERROR(INDEX(Mesarios!$M$2:$M$112,MATCH($A12&amp;"|"&amp;D$1,Mesarios!$F$2:$F$112,0)),"VAGO")</f>
        <v>SIM</v>
      </c>
      <c r="F12" s="17" t="str">
        <f>IFERROR(INDEX(Mesarios!$D$2:$D$112,MATCH($A12&amp;"|"&amp;F$1,Mesarios!$F$2:$F$112,0)),"VAGO")</f>
        <v>NASTASSJA VERONICA LOUSADA GOMES</v>
      </c>
      <c r="G12" s="18" t="str">
        <f>IFERROR(INDEX(Mesarios!$M$2:$M$112,MATCH($A12&amp;"|"&amp;F$1,Mesarios!$F$2:$F$112,0)),"VAGO")</f>
        <v>SIM</v>
      </c>
      <c r="H12" s="17" t="str">
        <f>IFERROR(INDEX(Mesarios!$D$2:$D$112,MATCH($A12&amp;"|"&amp;H$1,Mesarios!$F$2:$F$112,0)),"VAGO")</f>
        <v>ANTHONY EDWARD DA SILVA AGAPITO</v>
      </c>
      <c r="I12" s="18" t="str">
        <f>IFERROR(INDEX(Mesarios!$M$2:$M$112,MATCH($A12&amp;"|"&amp;H$1,Mesarios!$F$2:$F$112,0)),"VAGO")</f>
        <v>SIM</v>
      </c>
      <c r="J12" s="18">
        <f t="shared" si="0"/>
        <v>3</v>
      </c>
      <c r="K12" s="18">
        <f t="shared" si="1"/>
        <v>1</v>
      </c>
      <c r="L12" s="18">
        <f t="shared" si="2"/>
        <v>0</v>
      </c>
      <c r="M12" s="17" t="str">
        <f t="shared" si="3"/>
        <v>Falta 1</v>
      </c>
      <c r="N12" s="19">
        <f>'Por secao'!N12</f>
        <v>504</v>
      </c>
      <c r="O12" s="18" t="str">
        <f>'Por secao'!O12</f>
        <v>Médio</v>
      </c>
    </row>
    <row r="13" spans="1:15" x14ac:dyDescent="0.25">
      <c r="A13" s="16">
        <f>'Por secao'!A13</f>
        <v>3179</v>
      </c>
      <c r="B13" s="17" t="str">
        <f>IFERROR(INDEX(Mesarios!$D$2:$D$112,MATCH($A13&amp;"|"&amp;B$1,Mesarios!$F$2:$F$112,0)),"VAGO")</f>
        <v>ELTON APARECIDO ROCHA</v>
      </c>
      <c r="C13" s="18" t="str">
        <f>IFERROR(INDEX(Mesarios!$M$2:$M$112,MATCH($A13&amp;"|"&amp;B$1,Mesarios!$F$2:$F$112,0)),"VAGO")</f>
        <v>SIM</v>
      </c>
      <c r="D13" s="17" t="str">
        <f>IFERROR(INDEX(Mesarios!$D$2:$D$112,MATCH($A13&amp;"|"&amp;D$1,Mesarios!$F$2:$F$112,0)),"VAGO")</f>
        <v>ANDERSON SILVERIO DE OLIVEIRA</v>
      </c>
      <c r="E13" s="18" t="str">
        <f>IFERROR(INDEX(Mesarios!$M$2:$M$112,MATCH($A13&amp;"|"&amp;D$1,Mesarios!$F$2:$F$112,0)),"VAGO")</f>
        <v>NAO</v>
      </c>
      <c r="F13" s="17" t="str">
        <f>IFERROR(INDEX(Mesarios!$D$2:$D$112,MATCH($A13&amp;"|"&amp;F$1,Mesarios!$F$2:$F$112,0)),"VAGO")</f>
        <v>JUSSARA VENEZA SOARES</v>
      </c>
      <c r="G13" s="18" t="str">
        <f>IFERROR(INDEX(Mesarios!$M$2:$M$112,MATCH($A13&amp;"|"&amp;F$1,Mesarios!$F$2:$F$112,0)),"VAGO")</f>
        <v>NAO</v>
      </c>
      <c r="H13" s="17" t="str">
        <f>IFERROR(INDEX(Mesarios!$D$2:$D$112,MATCH($A13&amp;"|"&amp;H$1,Mesarios!$F$2:$F$112,0)),"VAGO")</f>
        <v>TAYNA STETELI PERON LOPES SILVA</v>
      </c>
      <c r="I13" s="18" t="str">
        <f>IFERROR(INDEX(Mesarios!$M$2:$M$112,MATCH($A13&amp;"|"&amp;H$1,Mesarios!$F$2:$F$112,0)),"VAGO")</f>
        <v>SIM</v>
      </c>
      <c r="J13" s="18">
        <f t="shared" si="0"/>
        <v>2</v>
      </c>
      <c r="K13" s="18">
        <f t="shared" si="1"/>
        <v>2</v>
      </c>
      <c r="L13" s="18">
        <f t="shared" si="2"/>
        <v>0</v>
      </c>
      <c r="M13" s="17" t="str">
        <f t="shared" si="3"/>
        <v>ATENÇÃO: só 2 presentes</v>
      </c>
      <c r="N13" s="19">
        <f>'Por secao'!N13</f>
        <v>423</v>
      </c>
      <c r="O13" s="18" t="str">
        <f>'Por secao'!O13</f>
        <v>Baixo</v>
      </c>
    </row>
    <row r="14" spans="1:15" x14ac:dyDescent="0.25">
      <c r="A14" s="16">
        <f>'Por secao'!A14</f>
        <v>3216</v>
      </c>
      <c r="B14" s="17" t="str">
        <f>IFERROR(INDEX(Mesarios!$D$2:$D$112,MATCH($A14&amp;"|"&amp;B$1,Mesarios!$F$2:$F$112,0)),"VAGO")</f>
        <v>JULIANA HENRIQUE CAMPOS SILVA</v>
      </c>
      <c r="C14" s="18" t="str">
        <f>IFERROR(INDEX(Mesarios!$M$2:$M$112,MATCH($A14&amp;"|"&amp;B$1,Mesarios!$F$2:$F$112,0)),"VAGO")</f>
        <v>SIM</v>
      </c>
      <c r="D14" s="17" t="str">
        <f>IFERROR(INDEX(Mesarios!$D$2:$D$112,MATCH($A14&amp;"|"&amp;D$1,Mesarios!$F$2:$F$112,0)),"VAGO")</f>
        <v>LILIANE SILVA DE SOUZA</v>
      </c>
      <c r="E14" s="18" t="str">
        <f>IFERROR(INDEX(Mesarios!$M$2:$M$112,MATCH($A14&amp;"|"&amp;D$1,Mesarios!$F$2:$F$112,0)),"VAGO")</f>
        <v>SIM</v>
      </c>
      <c r="F14" s="17" t="str">
        <f>IFERROR(INDEX(Mesarios!$D$2:$D$112,MATCH($A14&amp;"|"&amp;F$1,Mesarios!$F$2:$F$112,0)),"VAGO")</f>
        <v>JAQUELINE APARECIDA TEIXEIRA</v>
      </c>
      <c r="G14" s="18" t="str">
        <f>IFERROR(INDEX(Mesarios!$M$2:$M$112,MATCH($A14&amp;"|"&amp;F$1,Mesarios!$F$2:$F$112,0)),"VAGO")</f>
        <v>SIM</v>
      </c>
      <c r="H14" s="17" t="str">
        <f>IFERROR(INDEX(Mesarios!$D$2:$D$112,MATCH($A14&amp;"|"&amp;H$1,Mesarios!$F$2:$F$112,0)),"VAGO")</f>
        <v>DIOGO IGLESIAS CORDEIRO</v>
      </c>
      <c r="I14" s="18" t="str">
        <f>IFERROR(INDEX(Mesarios!$M$2:$M$112,MATCH($A14&amp;"|"&amp;H$1,Mesarios!$F$2:$F$112,0)),"VAGO")</f>
        <v>SIM</v>
      </c>
      <c r="J14" s="18">
        <f t="shared" si="0"/>
        <v>4</v>
      </c>
      <c r="K14" s="18">
        <f t="shared" si="1"/>
        <v>0</v>
      </c>
      <c r="L14" s="18">
        <f t="shared" si="2"/>
        <v>0</v>
      </c>
      <c r="M14" s="17" t="str">
        <f t="shared" si="3"/>
        <v>Mesa completa</v>
      </c>
      <c r="N14" s="19">
        <f>'Por secao'!N14</f>
        <v>407</v>
      </c>
      <c r="O14" s="18" t="str">
        <f>'Por secao'!O14</f>
        <v>Baixo</v>
      </c>
    </row>
    <row r="15" spans="1:15" x14ac:dyDescent="0.25">
      <c r="A15" s="16">
        <f>'Por secao'!A15</f>
        <v>3229</v>
      </c>
      <c r="B15" s="17" t="str">
        <f>IFERROR(INDEX(Mesarios!$D$2:$D$112,MATCH($A15&amp;"|"&amp;B$1,Mesarios!$F$2:$F$112,0)),"VAGO")</f>
        <v>EDIONES DINIZ SAVARIS</v>
      </c>
      <c r="C15" s="18" t="str">
        <f>IFERROR(INDEX(Mesarios!$M$2:$M$112,MATCH($A15&amp;"|"&amp;B$1,Mesarios!$F$2:$F$112,0)),"VAGO")</f>
        <v>SIM</v>
      </c>
      <c r="D15" s="17" t="str">
        <f>IFERROR(INDEX(Mesarios!$D$2:$D$112,MATCH($A15&amp;"|"&amp;D$1,Mesarios!$F$2:$F$112,0)),"VAGO")</f>
        <v>FRANCISCA THAMIRES DE SOUSA</v>
      </c>
      <c r="E15" s="18" t="str">
        <f>IFERROR(INDEX(Mesarios!$M$2:$M$112,MATCH($A15&amp;"|"&amp;D$1,Mesarios!$F$2:$F$112,0)),"VAGO")</f>
        <v>SIM</v>
      </c>
      <c r="F15" s="17" t="str">
        <f>IFERROR(INDEX(Mesarios!$D$2:$D$112,MATCH($A15&amp;"|"&amp;F$1,Mesarios!$F$2:$F$112,0)),"VAGO")</f>
        <v>AURORA MADRIL OLIVEIRA MOLINA</v>
      </c>
      <c r="G15" s="18" t="str">
        <f>IFERROR(INDEX(Mesarios!$M$2:$M$112,MATCH($A15&amp;"|"&amp;F$1,Mesarios!$F$2:$F$112,0)),"VAGO")</f>
        <v>SIM</v>
      </c>
      <c r="H15" s="17" t="str">
        <f>IFERROR(INDEX(Mesarios!$D$2:$D$112,MATCH($A15&amp;"|"&amp;H$1,Mesarios!$F$2:$F$112,0)),"VAGO")</f>
        <v>LUCAS FEITOSA CLAUDINO</v>
      </c>
      <c r="I15" s="18" t="str">
        <f>IFERROR(INDEX(Mesarios!$M$2:$M$112,MATCH($A15&amp;"|"&amp;H$1,Mesarios!$F$2:$F$112,0)),"VAGO")</f>
        <v>SIM</v>
      </c>
      <c r="J15" s="18">
        <f t="shared" si="0"/>
        <v>4</v>
      </c>
      <c r="K15" s="18">
        <f t="shared" si="1"/>
        <v>0</v>
      </c>
      <c r="L15" s="18">
        <f t="shared" si="2"/>
        <v>0</v>
      </c>
      <c r="M15" s="17" t="str">
        <f t="shared" si="3"/>
        <v>Mesa completa</v>
      </c>
      <c r="N15" s="19">
        <f>'Por secao'!N15</f>
        <v>405</v>
      </c>
      <c r="O15" s="18" t="str">
        <f>'Por secao'!O15</f>
        <v>Baixo</v>
      </c>
    </row>
    <row r="16" spans="1:15" x14ac:dyDescent="0.25">
      <c r="A16" s="16">
        <f>'Por secao'!A16</f>
        <v>3245</v>
      </c>
      <c r="B16" s="17" t="str">
        <f>IFERROR(INDEX(Mesarios!$D$2:$D$112,MATCH($A16&amp;"|"&amp;B$1,Mesarios!$F$2:$F$112,0)),"VAGO")</f>
        <v>MARIANA JURANDIR GASPARETTI</v>
      </c>
      <c r="C16" s="18" t="str">
        <f>IFERROR(INDEX(Mesarios!$M$2:$M$112,MATCH($A16&amp;"|"&amp;B$1,Mesarios!$F$2:$F$112,0)),"VAGO")</f>
        <v>SIM</v>
      </c>
      <c r="D16" s="17" t="str">
        <f>IFERROR(INDEX(Mesarios!$D$2:$D$112,MATCH($A16&amp;"|"&amp;D$1,Mesarios!$F$2:$F$112,0)),"VAGO")</f>
        <v>JOAO GABRIEL BARBOSA CESAR</v>
      </c>
      <c r="E16" s="18" t="str">
        <f>IFERROR(INDEX(Mesarios!$M$2:$M$112,MATCH($A16&amp;"|"&amp;D$1,Mesarios!$F$2:$F$112,0)),"VAGO")</f>
        <v>SIM</v>
      </c>
      <c r="F16" s="17" t="str">
        <f>IFERROR(INDEX(Mesarios!$D$2:$D$112,MATCH($A16&amp;"|"&amp;F$1,Mesarios!$F$2:$F$112,0)),"VAGO")</f>
        <v>TALITA DE ARAUJO CARVALHO</v>
      </c>
      <c r="G16" s="18" t="str">
        <f>IFERROR(INDEX(Mesarios!$M$2:$M$112,MATCH($A16&amp;"|"&amp;F$1,Mesarios!$F$2:$F$112,0)),"VAGO")</f>
        <v>SIM</v>
      </c>
      <c r="H16" s="17" t="str">
        <f>IFERROR(INDEX(Mesarios!$D$2:$D$112,MATCH($A16&amp;"|"&amp;H$1,Mesarios!$F$2:$F$112,0)),"VAGO")</f>
        <v>VINICIUS ARAUJO DE OLIVEIRA</v>
      </c>
      <c r="I16" s="18" t="str">
        <f>IFERROR(INDEX(Mesarios!$M$2:$M$112,MATCH($A16&amp;"|"&amp;H$1,Mesarios!$F$2:$F$112,0)),"VAGO")</f>
        <v>NAO</v>
      </c>
      <c r="J16" s="18">
        <f t="shared" si="0"/>
        <v>3</v>
      </c>
      <c r="K16" s="18">
        <f t="shared" si="1"/>
        <v>1</v>
      </c>
      <c r="L16" s="18">
        <f t="shared" si="2"/>
        <v>0</v>
      </c>
      <c r="M16" s="17" t="str">
        <f t="shared" si="3"/>
        <v>Falta 1</v>
      </c>
      <c r="N16" s="19">
        <f>'Por secao'!N16</f>
        <v>498</v>
      </c>
      <c r="O16" s="18" t="str">
        <f>'Por secao'!O16</f>
        <v>Médio</v>
      </c>
    </row>
    <row r="17" spans="1:15" x14ac:dyDescent="0.25">
      <c r="A17" s="16">
        <f>'Por secao'!A17</f>
        <v>3302</v>
      </c>
      <c r="B17" s="17" t="str">
        <f>IFERROR(INDEX(Mesarios!$D$2:$D$112,MATCH($A17&amp;"|"&amp;B$1,Mesarios!$F$2:$F$112,0)),"VAGO")</f>
        <v>MARIA LUCIA MORGANTE DE MIRANDA</v>
      </c>
      <c r="C17" s="18" t="str">
        <f>IFERROR(INDEX(Mesarios!$M$2:$M$112,MATCH($A17&amp;"|"&amp;B$1,Mesarios!$F$2:$F$112,0)),"VAGO")</f>
        <v>SIM</v>
      </c>
      <c r="D17" s="17" t="str">
        <f>IFERROR(INDEX(Mesarios!$D$2:$D$112,MATCH($A17&amp;"|"&amp;D$1,Mesarios!$F$2:$F$112,0)),"VAGO")</f>
        <v>SANDRA REGINA CAETANO DE SOUZA</v>
      </c>
      <c r="E17" s="18" t="str">
        <f>IFERROR(INDEX(Mesarios!$M$2:$M$112,MATCH($A17&amp;"|"&amp;D$1,Mesarios!$F$2:$F$112,0)),"VAGO")</f>
        <v>SIM</v>
      </c>
      <c r="F17" s="17" t="str">
        <f>IFERROR(INDEX(Mesarios!$D$2:$D$112,MATCH($A17&amp;"|"&amp;F$1,Mesarios!$F$2:$F$112,0)),"VAGO")</f>
        <v>RENAN WILLIAN DA COSTA</v>
      </c>
      <c r="G17" s="18" t="str">
        <f>IFERROR(INDEX(Mesarios!$M$2:$M$112,MATCH($A17&amp;"|"&amp;F$1,Mesarios!$F$2:$F$112,0)),"VAGO")</f>
        <v>SIM</v>
      </c>
      <c r="H17" s="17" t="str">
        <f>IFERROR(INDEX(Mesarios!$D$2:$D$112,MATCH($A17&amp;"|"&amp;H$1,Mesarios!$F$2:$F$112,0)),"VAGO")</f>
        <v>TIAGO PAIVA DE CARVALHO</v>
      </c>
      <c r="I17" s="18" t="str">
        <f>IFERROR(INDEX(Mesarios!$M$2:$M$112,MATCH($A17&amp;"|"&amp;H$1,Mesarios!$F$2:$F$112,0)),"VAGO")</f>
        <v>SIM</v>
      </c>
      <c r="J17" s="18">
        <f t="shared" si="0"/>
        <v>4</v>
      </c>
      <c r="K17" s="18">
        <f t="shared" si="1"/>
        <v>0</v>
      </c>
      <c r="L17" s="18">
        <f t="shared" si="2"/>
        <v>0</v>
      </c>
      <c r="M17" s="17" t="str">
        <f t="shared" si="3"/>
        <v>Mesa completa</v>
      </c>
      <c r="N17" s="19">
        <f>'Por secao'!N17</f>
        <v>518</v>
      </c>
      <c r="O17" s="18" t="str">
        <f>'Por secao'!O17</f>
        <v>Médio</v>
      </c>
    </row>
    <row r="18" spans="1:15" x14ac:dyDescent="0.25">
      <c r="A18" s="16">
        <f>'Por secao'!A18</f>
        <v>3305</v>
      </c>
      <c r="B18" s="17" t="str">
        <f>IFERROR(INDEX(Mesarios!$D$2:$D$112,MATCH($A18&amp;"|"&amp;B$1,Mesarios!$F$2:$F$112,0)),"VAGO")</f>
        <v>SARA RODRIGUES GOMES</v>
      </c>
      <c r="C18" s="18" t="str">
        <f>IFERROR(INDEX(Mesarios!$M$2:$M$112,MATCH($A18&amp;"|"&amp;B$1,Mesarios!$F$2:$F$112,0)),"VAGO")</f>
        <v>NAO</v>
      </c>
      <c r="D18" s="17" t="str">
        <f>IFERROR(INDEX(Mesarios!$D$2:$D$112,MATCH($A18&amp;"|"&amp;D$1,Mesarios!$F$2:$F$112,0)),"VAGO")</f>
        <v>MARIA HELENA DE FRANÇA MELLO ALVES</v>
      </c>
      <c r="E18" s="18" t="str">
        <f>IFERROR(INDEX(Mesarios!$M$2:$M$112,MATCH($A18&amp;"|"&amp;D$1,Mesarios!$F$2:$F$112,0)),"VAGO")</f>
        <v>SIM</v>
      </c>
      <c r="F18" s="17" t="str">
        <f>IFERROR(INDEX(Mesarios!$D$2:$D$112,MATCH($A18&amp;"|"&amp;F$1,Mesarios!$F$2:$F$112,0)),"VAGO")</f>
        <v>FÁBIO MARCELO DA TRINDADE</v>
      </c>
      <c r="G18" s="18" t="str">
        <f>IFERROR(INDEX(Mesarios!$M$2:$M$112,MATCH($A18&amp;"|"&amp;F$1,Mesarios!$F$2:$F$112,0)),"VAGO")</f>
        <v>SIM</v>
      </c>
      <c r="H18" s="17" t="str">
        <f>IFERROR(INDEX(Mesarios!$D$2:$D$112,MATCH($A18&amp;"|"&amp;H$1,Mesarios!$F$2:$F$112,0)),"VAGO")</f>
        <v>FAGNER DE PAULA ALMEIDA MORAIS</v>
      </c>
      <c r="I18" s="18" t="str">
        <f>IFERROR(INDEX(Mesarios!$M$2:$M$112,MATCH($A18&amp;"|"&amp;H$1,Mesarios!$F$2:$F$112,0)),"VAGO")</f>
        <v>SIM</v>
      </c>
      <c r="J18" s="18">
        <f t="shared" si="0"/>
        <v>3</v>
      </c>
      <c r="K18" s="18">
        <f t="shared" si="1"/>
        <v>1</v>
      </c>
      <c r="L18" s="18">
        <f t="shared" si="2"/>
        <v>0</v>
      </c>
      <c r="M18" s="17" t="str">
        <f t="shared" si="3"/>
        <v>Falta 1</v>
      </c>
      <c r="N18" s="19">
        <f>'Por secao'!N18</f>
        <v>472</v>
      </c>
      <c r="O18" s="18" t="str">
        <f>'Por secao'!O18</f>
        <v>Médio</v>
      </c>
    </row>
    <row r="19" spans="1:15" x14ac:dyDescent="0.25">
      <c r="A19" s="16">
        <f>'Por secao'!A19</f>
        <v>3306</v>
      </c>
      <c r="B19" s="17" t="str">
        <f>IFERROR(INDEX(Mesarios!$D$2:$D$112,MATCH($A19&amp;"|"&amp;B$1,Mesarios!$F$2:$F$112,0)),"VAGO")</f>
        <v>JULIANA WONG MENDONÇA</v>
      </c>
      <c r="C19" s="18" t="str">
        <f>IFERROR(INDEX(Mesarios!$M$2:$M$112,MATCH($A19&amp;"|"&amp;B$1,Mesarios!$F$2:$F$112,0)),"VAGO")</f>
        <v>SIM</v>
      </c>
      <c r="D19" s="17" t="str">
        <f>IFERROR(INDEX(Mesarios!$D$2:$D$112,MATCH($A19&amp;"|"&amp;D$1,Mesarios!$F$2:$F$112,0)),"VAGO")</f>
        <v>LUISA OLIVEIRA DO MONTE CARMELO</v>
      </c>
      <c r="E19" s="18" t="str">
        <f>IFERROR(INDEX(Mesarios!$M$2:$M$112,MATCH($A19&amp;"|"&amp;D$1,Mesarios!$F$2:$F$112,0)),"VAGO")</f>
        <v>SIM</v>
      </c>
      <c r="F19" s="17" t="str">
        <f>IFERROR(INDEX(Mesarios!$D$2:$D$112,MATCH($A19&amp;"|"&amp;F$1,Mesarios!$F$2:$F$112,0)),"VAGO")</f>
        <v>MICHAEL DA COSTA MUNIZ</v>
      </c>
      <c r="G19" s="18" t="str">
        <f>IFERROR(INDEX(Mesarios!$M$2:$M$112,MATCH($A19&amp;"|"&amp;F$1,Mesarios!$F$2:$F$112,0)),"VAGO")</f>
        <v>SIM</v>
      </c>
      <c r="H19" s="17" t="str">
        <f>IFERROR(INDEX(Mesarios!$D$2:$D$112,MATCH($A19&amp;"|"&amp;H$1,Mesarios!$F$2:$F$112,0)),"VAGO")</f>
        <v>MATHEUS CARVALHO MENDONCA</v>
      </c>
      <c r="I19" s="18" t="str">
        <f>IFERROR(INDEX(Mesarios!$M$2:$M$112,MATCH($A19&amp;"|"&amp;H$1,Mesarios!$F$2:$F$112,0)),"VAGO")</f>
        <v>SIM</v>
      </c>
      <c r="J19" s="18">
        <f t="shared" si="0"/>
        <v>4</v>
      </c>
      <c r="K19" s="18">
        <f t="shared" si="1"/>
        <v>0</v>
      </c>
      <c r="L19" s="18">
        <f t="shared" si="2"/>
        <v>0</v>
      </c>
      <c r="M19" s="17" t="str">
        <f t="shared" si="3"/>
        <v>Mesa completa</v>
      </c>
      <c r="N19" s="19">
        <f>'Por secao'!N19</f>
        <v>515</v>
      </c>
      <c r="O19" s="18" t="str">
        <f>'Por secao'!O19</f>
        <v>Médio</v>
      </c>
    </row>
    <row r="20" spans="1:15" x14ac:dyDescent="0.25">
      <c r="A20" s="16">
        <f>'Por secao'!A20</f>
        <v>3308</v>
      </c>
      <c r="B20" s="17" t="str">
        <f>IFERROR(INDEX(Mesarios!$D$2:$D$112,MATCH($A20&amp;"|"&amp;B$1,Mesarios!$F$2:$F$112,0)),"VAGO")</f>
        <v>KAIQUE AQUINO OLIVEIRA</v>
      </c>
      <c r="C20" s="18" t="str">
        <f>IFERROR(INDEX(Mesarios!$M$2:$M$112,MATCH($A20&amp;"|"&amp;B$1,Mesarios!$F$2:$F$112,0)),"VAGO")</f>
        <v>NAO</v>
      </c>
      <c r="D20" s="17" t="str">
        <f>IFERROR(INDEX(Mesarios!$D$2:$D$112,MATCH($A20&amp;"|"&amp;D$1,Mesarios!$F$2:$F$112,0)),"VAGO")</f>
        <v>CARLA RIBEIRO DOS SANTOS SIMOES</v>
      </c>
      <c r="E20" s="18" t="str">
        <f>IFERROR(INDEX(Mesarios!$M$2:$M$112,MATCH($A20&amp;"|"&amp;D$1,Mesarios!$F$2:$F$112,0)),"VAGO")</f>
        <v>SIM</v>
      </c>
      <c r="F20" s="17" t="str">
        <f>IFERROR(INDEX(Mesarios!$D$2:$D$112,MATCH($A20&amp;"|"&amp;F$1,Mesarios!$F$2:$F$112,0)),"VAGO")</f>
        <v>LOUISE ANDRIELLE PRANDI</v>
      </c>
      <c r="G20" s="18" t="str">
        <f>IFERROR(INDEX(Mesarios!$M$2:$M$112,MATCH($A20&amp;"|"&amp;F$1,Mesarios!$F$2:$F$112,0)),"VAGO")</f>
        <v>SIM</v>
      </c>
      <c r="H20" s="17" t="str">
        <f>IFERROR(INDEX(Mesarios!$D$2:$D$112,MATCH($A20&amp;"|"&amp;H$1,Mesarios!$F$2:$F$112,0)),"VAGO")</f>
        <v>PAULA LIMÃO DE CAMPOS</v>
      </c>
      <c r="I20" s="18" t="str">
        <f>IFERROR(INDEX(Mesarios!$M$2:$M$112,MATCH($A20&amp;"|"&amp;H$1,Mesarios!$F$2:$F$112,0)),"VAGO")</f>
        <v>SIM</v>
      </c>
      <c r="J20" s="18">
        <f t="shared" si="0"/>
        <v>3</v>
      </c>
      <c r="K20" s="18">
        <f t="shared" si="1"/>
        <v>1</v>
      </c>
      <c r="L20" s="18">
        <f t="shared" si="2"/>
        <v>0</v>
      </c>
      <c r="M20" s="17" t="str">
        <f t="shared" si="3"/>
        <v>Falta 1</v>
      </c>
      <c r="N20" s="19">
        <f>'Por secao'!N20</f>
        <v>295</v>
      </c>
      <c r="O20" s="18" t="str">
        <f>'Por secao'!O20</f>
        <v>Baixo</v>
      </c>
    </row>
    <row r="21" spans="1:15" x14ac:dyDescent="0.25">
      <c r="A21" s="16">
        <f>'Por secao'!A21</f>
        <v>3309</v>
      </c>
      <c r="B21" s="17" t="str">
        <f>IFERROR(INDEX(Mesarios!$D$2:$D$112,MATCH($A21&amp;"|"&amp;B$1,Mesarios!$F$2:$F$112,0)),"VAGO")</f>
        <v>ROGERIO LINHARES GOES</v>
      </c>
      <c r="C21" s="18" t="str">
        <f>IFERROR(INDEX(Mesarios!$M$2:$M$112,MATCH($A21&amp;"|"&amp;B$1,Mesarios!$F$2:$F$112,0)),"VAGO")</f>
        <v>SIM</v>
      </c>
      <c r="D21" s="17" t="str">
        <f>IFERROR(INDEX(Mesarios!$D$2:$D$112,MATCH($A21&amp;"|"&amp;D$1,Mesarios!$F$2:$F$112,0)),"VAGO")</f>
        <v>PAULA CIPRO CARVALHO CAMPOS</v>
      </c>
      <c r="E21" s="18" t="str">
        <f>IFERROR(INDEX(Mesarios!$M$2:$M$112,MATCH($A21&amp;"|"&amp;D$1,Mesarios!$F$2:$F$112,0)),"VAGO")</f>
        <v>SIM</v>
      </c>
      <c r="F21" s="17" t="str">
        <f>IFERROR(INDEX(Mesarios!$D$2:$D$112,MATCH($A21&amp;"|"&amp;F$1,Mesarios!$F$2:$F$112,0)),"VAGO")</f>
        <v>LUAM DUANE ANDRADE MOREIRA</v>
      </c>
      <c r="G21" s="18" t="str">
        <f>IFERROR(INDEX(Mesarios!$M$2:$M$112,MATCH($A21&amp;"|"&amp;F$1,Mesarios!$F$2:$F$112,0)),"VAGO")</f>
        <v>SIM</v>
      </c>
      <c r="H21" s="17" t="str">
        <f>IFERROR(INDEX(Mesarios!$D$2:$D$112,MATCH($A21&amp;"|"&amp;H$1,Mesarios!$F$2:$F$112,0)),"VAGO")</f>
        <v>SARA SOBRAL DIAS</v>
      </c>
      <c r="I21" s="18" t="str">
        <f>IFERROR(INDEX(Mesarios!$M$2:$M$112,MATCH($A21&amp;"|"&amp;H$1,Mesarios!$F$2:$F$112,0)),"VAGO")</f>
        <v>SIM</v>
      </c>
      <c r="J21" s="18">
        <f t="shared" si="0"/>
        <v>4</v>
      </c>
      <c r="K21" s="18">
        <f t="shared" si="1"/>
        <v>0</v>
      </c>
      <c r="L21" s="18">
        <f t="shared" si="2"/>
        <v>0</v>
      </c>
      <c r="M21" s="17" t="str">
        <f t="shared" si="3"/>
        <v>Mesa completa</v>
      </c>
      <c r="N21" s="19">
        <f>'Por secao'!N21</f>
        <v>395</v>
      </c>
      <c r="O21" s="18" t="str">
        <f>'Por secao'!O21</f>
        <v>Baixo</v>
      </c>
    </row>
    <row r="22" spans="1:15" x14ac:dyDescent="0.25">
      <c r="A22" s="16">
        <f>'Por secao'!A22</f>
        <v>3311</v>
      </c>
      <c r="B22" s="17" t="str">
        <f>IFERROR(INDEX(Mesarios!$D$2:$D$112,MATCH($A22&amp;"|"&amp;B$1,Mesarios!$F$2:$F$112,0)),"VAGO")</f>
        <v>FLAVIA NASCIMENTO DE SOUZA</v>
      </c>
      <c r="C22" s="18" t="str">
        <f>IFERROR(INDEX(Mesarios!$M$2:$M$112,MATCH($A22&amp;"|"&amp;B$1,Mesarios!$F$2:$F$112,0)),"VAGO")</f>
        <v>SIM</v>
      </c>
      <c r="D22" s="17" t="str">
        <f>IFERROR(INDEX(Mesarios!$D$2:$D$112,MATCH($A22&amp;"|"&amp;D$1,Mesarios!$F$2:$F$112,0)),"VAGO")</f>
        <v>RODRIGO ERASMO BARBOZA</v>
      </c>
      <c r="E22" s="18" t="str">
        <f>IFERROR(INDEX(Mesarios!$M$2:$M$112,MATCH($A22&amp;"|"&amp;D$1,Mesarios!$F$2:$F$112,0)),"VAGO")</f>
        <v>SIM</v>
      </c>
      <c r="F22" s="17" t="str">
        <f>IFERROR(INDEX(Mesarios!$D$2:$D$112,MATCH($A22&amp;"|"&amp;F$1,Mesarios!$F$2:$F$112,0)),"VAGO")</f>
        <v>EDNALDO AZEVEDO DE NORONHA</v>
      </c>
      <c r="G22" s="18" t="str">
        <f>IFERROR(INDEX(Mesarios!$M$2:$M$112,MATCH($A22&amp;"|"&amp;F$1,Mesarios!$F$2:$F$112,0)),"VAGO")</f>
        <v>SIM</v>
      </c>
      <c r="H22" s="17" t="str">
        <f>IFERROR(INDEX(Mesarios!$D$2:$D$112,MATCH($A22&amp;"|"&amp;H$1,Mesarios!$F$2:$F$112,0)),"VAGO")</f>
        <v>THAÍS TERÊNCIO PEREIRA</v>
      </c>
      <c r="I22" s="18" t="str">
        <f>IFERROR(INDEX(Mesarios!$M$2:$M$112,MATCH($A22&amp;"|"&amp;H$1,Mesarios!$F$2:$F$112,0)),"VAGO")</f>
        <v>SIM</v>
      </c>
      <c r="J22" s="18">
        <f t="shared" si="0"/>
        <v>4</v>
      </c>
      <c r="K22" s="18">
        <f t="shared" si="1"/>
        <v>0</v>
      </c>
      <c r="L22" s="18">
        <f t="shared" si="2"/>
        <v>0</v>
      </c>
      <c r="M22" s="17" t="str">
        <f t="shared" si="3"/>
        <v>Mesa completa</v>
      </c>
      <c r="N22" s="19">
        <f>'Por secao'!N22</f>
        <v>466</v>
      </c>
      <c r="O22" s="18" t="str">
        <f>'Por secao'!O22</f>
        <v>Médio</v>
      </c>
    </row>
    <row r="23" spans="1:15" x14ac:dyDescent="0.25">
      <c r="A23" s="16">
        <f>'Por secao'!A23</f>
        <v>3313</v>
      </c>
      <c r="B23" s="17" t="str">
        <f>IFERROR(INDEX(Mesarios!$D$2:$D$112,MATCH($A23&amp;"|"&amp;B$1,Mesarios!$F$2:$F$112,0)),"VAGO")</f>
        <v>VANESSA ROCHA BARBOSA BARBALHO</v>
      </c>
      <c r="C23" s="18" t="str">
        <f>IFERROR(INDEX(Mesarios!$M$2:$M$112,MATCH($A23&amp;"|"&amp;B$1,Mesarios!$F$2:$F$112,0)),"VAGO")</f>
        <v>SIM</v>
      </c>
      <c r="D23" s="17" t="str">
        <f>IFERROR(INDEX(Mesarios!$D$2:$D$112,MATCH($A23&amp;"|"&amp;D$1,Mesarios!$F$2:$F$112,0)),"VAGO")</f>
        <v>LEILA ROSARIA LIOTTA</v>
      </c>
      <c r="E23" s="18" t="str">
        <f>IFERROR(INDEX(Mesarios!$M$2:$M$112,MATCH($A23&amp;"|"&amp;D$1,Mesarios!$F$2:$F$112,0)),"VAGO")</f>
        <v>SIM</v>
      </c>
      <c r="F23" s="17" t="str">
        <f>IFERROR(INDEX(Mesarios!$D$2:$D$112,MATCH($A23&amp;"|"&amp;F$1,Mesarios!$F$2:$F$112,0)),"VAGO")</f>
        <v>DANIEL PESSOA CARDEAL</v>
      </c>
      <c r="G23" s="18" t="str">
        <f>IFERROR(INDEX(Mesarios!$M$2:$M$112,MATCH($A23&amp;"|"&amp;F$1,Mesarios!$F$2:$F$112,0)),"VAGO")</f>
        <v>SIM</v>
      </c>
      <c r="H23" s="17" t="str">
        <f>IFERROR(INDEX(Mesarios!$D$2:$D$112,MATCH($A23&amp;"|"&amp;H$1,Mesarios!$F$2:$F$112,0)),"VAGO")</f>
        <v>SANDRO CUNHA DA SILVA</v>
      </c>
      <c r="I23" s="18" t="str">
        <f>IFERROR(INDEX(Mesarios!$M$2:$M$112,MATCH($A23&amp;"|"&amp;H$1,Mesarios!$F$2:$F$112,0)),"VAGO")</f>
        <v>SIM</v>
      </c>
      <c r="J23" s="18">
        <f t="shared" si="0"/>
        <v>4</v>
      </c>
      <c r="K23" s="18">
        <f t="shared" si="1"/>
        <v>0</v>
      </c>
      <c r="L23" s="18">
        <f t="shared" si="2"/>
        <v>0</v>
      </c>
      <c r="M23" s="17" t="str">
        <f t="shared" si="3"/>
        <v>Mesa completa</v>
      </c>
      <c r="N23" s="19">
        <f>'Por secao'!N23</f>
        <v>590</v>
      </c>
      <c r="O23" s="18" t="str">
        <f>'Por secao'!O23</f>
        <v>Alto</v>
      </c>
    </row>
    <row r="24" spans="1:15" x14ac:dyDescent="0.25">
      <c r="A24" s="16">
        <f>'Por secao'!A24</f>
        <v>3315</v>
      </c>
      <c r="B24" s="17" t="str">
        <f>IFERROR(INDEX(Mesarios!$D$2:$D$112,MATCH($A24&amp;"|"&amp;B$1,Mesarios!$F$2:$F$112,0)),"VAGO")</f>
        <v>JAIR DE ASSUNÇÃO CORREIA FILHO</v>
      </c>
      <c r="C24" s="18" t="str">
        <f>IFERROR(INDEX(Mesarios!$M$2:$M$112,MATCH($A24&amp;"|"&amp;B$1,Mesarios!$F$2:$F$112,0)),"VAGO")</f>
        <v>NAO</v>
      </c>
      <c r="D24" s="17" t="str">
        <f>IFERROR(INDEX(Mesarios!$D$2:$D$112,MATCH($A24&amp;"|"&amp;D$1,Mesarios!$F$2:$F$112,0)),"VAGO")</f>
        <v>HUMBERTO ALAF RIBEIRO MARTINS</v>
      </c>
      <c r="E24" s="18" t="str">
        <f>IFERROR(INDEX(Mesarios!$M$2:$M$112,MATCH($A24&amp;"|"&amp;D$1,Mesarios!$F$2:$F$112,0)),"VAGO")</f>
        <v>SIM</v>
      </c>
      <c r="F24" s="17" t="str">
        <f>IFERROR(INDEX(Mesarios!$D$2:$D$112,MATCH($A24&amp;"|"&amp;F$1,Mesarios!$F$2:$F$112,0)),"VAGO")</f>
        <v>JESSICA MENDES</v>
      </c>
      <c r="G24" s="18" t="str">
        <f>IFERROR(INDEX(Mesarios!$M$2:$M$112,MATCH($A24&amp;"|"&amp;F$1,Mesarios!$F$2:$F$112,0)),"VAGO")</f>
        <v>SIM</v>
      </c>
      <c r="H24" s="17" t="str">
        <f>IFERROR(INDEX(Mesarios!$D$2:$D$112,MATCH($A24&amp;"|"&amp;H$1,Mesarios!$F$2:$F$112,0)),"VAGO")</f>
        <v>ALANE GERSSICA DE ANDRADE DO NASCIMENTO</v>
      </c>
      <c r="I24" s="18" t="str">
        <f>IFERROR(INDEX(Mesarios!$M$2:$M$112,MATCH($A24&amp;"|"&amp;H$1,Mesarios!$F$2:$F$112,0)),"VAGO")</f>
        <v>NAO</v>
      </c>
      <c r="J24" s="18">
        <f t="shared" si="0"/>
        <v>2</v>
      </c>
      <c r="K24" s="18">
        <f t="shared" si="1"/>
        <v>2</v>
      </c>
      <c r="L24" s="18">
        <f t="shared" si="2"/>
        <v>0</v>
      </c>
      <c r="M24" s="17" t="str">
        <f t="shared" si="3"/>
        <v>ATENÇÃO: só 2 presentes</v>
      </c>
      <c r="N24" s="19">
        <f>'Por secao'!N24</f>
        <v>586</v>
      </c>
      <c r="O24" s="18" t="str">
        <f>'Por secao'!O24</f>
        <v>Alto</v>
      </c>
    </row>
    <row r="25" spans="1:15" x14ac:dyDescent="0.25">
      <c r="A25" s="16">
        <f>'Por secao'!A25</f>
        <v>3322</v>
      </c>
      <c r="B25" s="17" t="str">
        <f>IFERROR(INDEX(Mesarios!$D$2:$D$112,MATCH($A25&amp;"|"&amp;B$1,Mesarios!$F$2:$F$112,0)),"VAGO")</f>
        <v>MAÍRA FABIOLA FABIANI</v>
      </c>
      <c r="C25" s="18" t="str">
        <f>IFERROR(INDEX(Mesarios!$M$2:$M$112,MATCH($A25&amp;"|"&amp;B$1,Mesarios!$F$2:$F$112,0)),"VAGO")</f>
        <v>SIM</v>
      </c>
      <c r="D25" s="17" t="str">
        <f>IFERROR(INDEX(Mesarios!$D$2:$D$112,MATCH($A25&amp;"|"&amp;D$1,Mesarios!$F$2:$F$112,0)),"VAGO")</f>
        <v>BRENDA ALVES DA SILVA</v>
      </c>
      <c r="E25" s="18" t="str">
        <f>IFERROR(INDEX(Mesarios!$M$2:$M$112,MATCH($A25&amp;"|"&amp;D$1,Mesarios!$F$2:$F$112,0)),"VAGO")</f>
        <v>SIM</v>
      </c>
      <c r="F25" s="17" t="str">
        <f>IFERROR(INDEX(Mesarios!$D$2:$D$112,MATCH($A25&amp;"|"&amp;F$1,Mesarios!$F$2:$F$112,0)),"VAGO")</f>
        <v>RUDINEI CORDEIRO</v>
      </c>
      <c r="G25" s="18" t="str">
        <f>IFERROR(INDEX(Mesarios!$M$2:$M$112,MATCH($A25&amp;"|"&amp;F$1,Mesarios!$F$2:$F$112,0)),"VAGO")</f>
        <v>NAO</v>
      </c>
      <c r="H25" s="17" t="str">
        <f>IFERROR(INDEX(Mesarios!$D$2:$D$112,MATCH($A25&amp;"|"&amp;H$1,Mesarios!$F$2:$F$112,0)),"VAGO")</f>
        <v>NADIA FERNANDA WEBER</v>
      </c>
      <c r="I25" s="18" t="str">
        <f>IFERROR(INDEX(Mesarios!$M$2:$M$112,MATCH($A25&amp;"|"&amp;H$1,Mesarios!$F$2:$F$112,0)),"VAGO")</f>
        <v>SIM</v>
      </c>
      <c r="J25" s="18">
        <f t="shared" si="0"/>
        <v>3</v>
      </c>
      <c r="K25" s="18">
        <f t="shared" si="1"/>
        <v>1</v>
      </c>
      <c r="L25" s="18">
        <f t="shared" si="2"/>
        <v>0</v>
      </c>
      <c r="M25" s="17" t="str">
        <f t="shared" si="3"/>
        <v>Falta 1</v>
      </c>
      <c r="N25" s="19">
        <f>'Por secao'!N25</f>
        <v>588</v>
      </c>
      <c r="O25" s="18" t="str">
        <f>'Por secao'!O25</f>
        <v>Alto</v>
      </c>
    </row>
    <row r="26" spans="1:15" x14ac:dyDescent="0.25">
      <c r="A26" s="16">
        <f>'Por secao'!A26</f>
        <v>3442</v>
      </c>
      <c r="B26" s="17" t="str">
        <f>IFERROR(INDEX(Mesarios!$D$2:$D$112,MATCH($A26&amp;"|"&amp;B$1,Mesarios!$F$2:$F$112,0)),"VAGO")</f>
        <v>DANILO ANDERSON FERRAREIS</v>
      </c>
      <c r="C26" s="18" t="str">
        <f>IFERROR(INDEX(Mesarios!$M$2:$M$112,MATCH($A26&amp;"|"&amp;B$1,Mesarios!$F$2:$F$112,0)),"VAGO")</f>
        <v>SIM</v>
      </c>
      <c r="D26" s="17" t="str">
        <f>IFERROR(INDEX(Mesarios!$D$2:$D$112,MATCH($A26&amp;"|"&amp;D$1,Mesarios!$F$2:$F$112,0)),"VAGO")</f>
        <v>GUSTAVO DAVID LOPES</v>
      </c>
      <c r="E26" s="18" t="str">
        <f>IFERROR(INDEX(Mesarios!$M$2:$M$112,MATCH($A26&amp;"|"&amp;D$1,Mesarios!$F$2:$F$112,0)),"VAGO")</f>
        <v>NAO</v>
      </c>
      <c r="F26" s="17" t="str">
        <f>IFERROR(INDEX(Mesarios!$D$2:$D$112,MATCH($A26&amp;"|"&amp;F$1,Mesarios!$F$2:$F$112,0)),"VAGO")</f>
        <v>TIFANY AZUMA TROMBINO XANDÚ</v>
      </c>
      <c r="G26" s="18" t="str">
        <f>IFERROR(INDEX(Mesarios!$M$2:$M$112,MATCH($A26&amp;"|"&amp;F$1,Mesarios!$F$2:$F$112,0)),"VAGO")</f>
        <v>NAO</v>
      </c>
      <c r="H26" s="17" t="str">
        <f>IFERROR(INDEX(Mesarios!$D$2:$D$112,MATCH($A26&amp;"|"&amp;H$1,Mesarios!$F$2:$F$112,0)),"VAGO")</f>
        <v>NICOLI CAMPOS CAMILO</v>
      </c>
      <c r="I26" s="18" t="str">
        <f>IFERROR(INDEX(Mesarios!$M$2:$M$112,MATCH($A26&amp;"|"&amp;H$1,Mesarios!$F$2:$F$112,0)),"VAGO")</f>
        <v>SIM</v>
      </c>
      <c r="J26" s="18">
        <f t="shared" si="0"/>
        <v>2</v>
      </c>
      <c r="K26" s="18">
        <f t="shared" si="1"/>
        <v>2</v>
      </c>
      <c r="L26" s="18">
        <f t="shared" si="2"/>
        <v>0</v>
      </c>
      <c r="M26" s="17" t="str">
        <f t="shared" si="3"/>
        <v>ATENÇÃO: só 2 presentes</v>
      </c>
      <c r="N26" s="19">
        <f>'Por secao'!N26</f>
        <v>295</v>
      </c>
      <c r="O26" s="18" t="str">
        <f>'Por secao'!O26</f>
        <v>Baixo</v>
      </c>
    </row>
    <row r="27" spans="1:15" x14ac:dyDescent="0.25">
      <c r="A27" s="16">
        <f>'Por secao'!A27</f>
        <v>3688</v>
      </c>
      <c r="B27" s="17" t="str">
        <f>IFERROR(INDEX(Mesarios!$D$2:$D$112,MATCH($A27&amp;"|"&amp;B$1,Mesarios!$F$2:$F$112,0)),"VAGO")</f>
        <v>JULIANA NUNES DE MENDONÇA</v>
      </c>
      <c r="C27" s="18" t="str">
        <f>IFERROR(INDEX(Mesarios!$M$2:$M$112,MATCH($A27&amp;"|"&amp;B$1,Mesarios!$F$2:$F$112,0)),"VAGO")</f>
        <v>SIM</v>
      </c>
      <c r="D27" s="17" t="str">
        <f>IFERROR(INDEX(Mesarios!$D$2:$D$112,MATCH($A27&amp;"|"&amp;D$1,Mesarios!$F$2:$F$112,0)),"VAGO")</f>
        <v>LAURA BEATRIZ VIEIRA SANTOS</v>
      </c>
      <c r="E27" s="18" t="str">
        <f>IFERROR(INDEX(Mesarios!$M$2:$M$112,MATCH($A27&amp;"|"&amp;D$1,Mesarios!$F$2:$F$112,0)),"VAGO")</f>
        <v>NAO</v>
      </c>
      <c r="F27" s="17" t="str">
        <f>IFERROR(INDEX(Mesarios!$D$2:$D$112,MATCH($A27&amp;"|"&amp;F$1,Mesarios!$F$2:$F$112,0)),"VAGO")</f>
        <v>DIEGO MENDANHA DA SILVA MAIA</v>
      </c>
      <c r="G27" s="18" t="str">
        <f>IFERROR(INDEX(Mesarios!$M$2:$M$112,MATCH($A27&amp;"|"&amp;F$1,Mesarios!$F$2:$F$112,0)),"VAGO")</f>
        <v>SIM</v>
      </c>
      <c r="H27" s="17" t="str">
        <f>IFERROR(INDEX(Mesarios!$D$2:$D$112,MATCH($A27&amp;"|"&amp;H$1,Mesarios!$F$2:$F$112,0)),"VAGO")</f>
        <v>LAURO SILVA RAMOS</v>
      </c>
      <c r="I27" s="18" t="str">
        <f>IFERROR(INDEX(Mesarios!$M$2:$M$112,MATCH($A27&amp;"|"&amp;H$1,Mesarios!$F$2:$F$112,0)),"VAGO")</f>
        <v>SIM</v>
      </c>
      <c r="J27" s="18">
        <f t="shared" si="0"/>
        <v>3</v>
      </c>
      <c r="K27" s="18">
        <f t="shared" si="1"/>
        <v>1</v>
      </c>
      <c r="L27" s="18">
        <f t="shared" si="2"/>
        <v>0</v>
      </c>
      <c r="M27" s="17" t="str">
        <f t="shared" si="3"/>
        <v>Falta 1</v>
      </c>
      <c r="N27" s="19">
        <f>'Por secao'!N27</f>
        <v>296</v>
      </c>
      <c r="O27" s="18" t="str">
        <f>'Por secao'!O27</f>
        <v>Baixo</v>
      </c>
    </row>
    <row r="28" spans="1:15" x14ac:dyDescent="0.25">
      <c r="A28" s="16">
        <f>'Por secao'!A28</f>
        <v>3832</v>
      </c>
      <c r="B28" s="17" t="str">
        <f>IFERROR(INDEX(Mesarios!$D$2:$D$112,MATCH($A28&amp;"|"&amp;B$1,Mesarios!$F$2:$F$112,0)),"VAGO")</f>
        <v>GILMAR BARBOSA DE SOUZA</v>
      </c>
      <c r="C28" s="18" t="str">
        <f>IFERROR(INDEX(Mesarios!$M$2:$M$112,MATCH($A28&amp;"|"&amp;B$1,Mesarios!$F$2:$F$112,0)),"VAGO")</f>
        <v>SIM</v>
      </c>
      <c r="D28" s="17" t="str">
        <f>IFERROR(INDEX(Mesarios!$D$2:$D$112,MATCH($A28&amp;"|"&amp;D$1,Mesarios!$F$2:$F$112,0)),"VAGO")</f>
        <v>MARINA RODRIGUES COUTO</v>
      </c>
      <c r="E28" s="18" t="str">
        <f>IFERROR(INDEX(Mesarios!$M$2:$M$112,MATCH($A28&amp;"|"&amp;D$1,Mesarios!$F$2:$F$112,0)),"VAGO")</f>
        <v>SIM</v>
      </c>
      <c r="F28" s="17" t="str">
        <f>IFERROR(INDEX(Mesarios!$D$2:$D$112,MATCH($A28&amp;"|"&amp;F$1,Mesarios!$F$2:$F$112,0)),"VAGO")</f>
        <v>ROBERTO CANALLI JUNIOR</v>
      </c>
      <c r="G28" s="18" t="str">
        <f>IFERROR(INDEX(Mesarios!$M$2:$M$112,MATCH($A28&amp;"|"&amp;F$1,Mesarios!$F$2:$F$112,0)),"VAGO")</f>
        <v>SIM</v>
      </c>
      <c r="H28" s="17" t="str">
        <f>IFERROR(INDEX(Mesarios!$D$2:$D$112,MATCH($A28&amp;"|"&amp;H$1,Mesarios!$F$2:$F$112,0)),"VAGO")</f>
        <v>THAYLA CHRISTINE EUGENIO BENTO</v>
      </c>
      <c r="I28" s="18" t="str">
        <f>IFERROR(INDEX(Mesarios!$M$2:$M$112,MATCH($A28&amp;"|"&amp;H$1,Mesarios!$F$2:$F$112,0)),"VAGO")</f>
        <v>SIM</v>
      </c>
      <c r="J28" s="18">
        <f t="shared" si="0"/>
        <v>4</v>
      </c>
      <c r="K28" s="18">
        <f t="shared" si="1"/>
        <v>0</v>
      </c>
      <c r="L28" s="18">
        <f t="shared" si="2"/>
        <v>0</v>
      </c>
      <c r="M28" s="17" t="str">
        <f t="shared" si="3"/>
        <v>Mesa completa</v>
      </c>
      <c r="N28" s="19">
        <f>'Por secao'!N28</f>
        <v>296</v>
      </c>
      <c r="O28" s="18" t="str">
        <f>'Por secao'!O28</f>
        <v>Baixo</v>
      </c>
    </row>
    <row r="29" spans="1:15" x14ac:dyDescent="0.25">
      <c r="A29" s="16">
        <f>'Por secao'!A29</f>
        <v>3862</v>
      </c>
      <c r="B29" s="17" t="str">
        <f>IFERROR(INDEX(Mesarios!$D$2:$D$112,MATCH($A29&amp;"|"&amp;B$1,Mesarios!$F$2:$F$112,0)),"VAGO")</f>
        <v>EMILLY LAÍSE PARDO XAVIER</v>
      </c>
      <c r="C29" s="18" t="str">
        <f>IFERROR(INDEX(Mesarios!$M$2:$M$112,MATCH($A29&amp;"|"&amp;B$1,Mesarios!$F$2:$F$112,0)),"VAGO")</f>
        <v>SIM</v>
      </c>
      <c r="D29" s="17" t="str">
        <f>IFERROR(INDEX(Mesarios!$D$2:$D$112,MATCH($A29&amp;"|"&amp;D$1,Mesarios!$F$2:$F$112,0)),"VAGO")</f>
        <v>BRUNA MARIA DE ALMEIDA CABRAL</v>
      </c>
      <c r="E29" s="18" t="str">
        <f>IFERROR(INDEX(Mesarios!$M$2:$M$112,MATCH($A29&amp;"|"&amp;D$1,Mesarios!$F$2:$F$112,0)),"VAGO")</f>
        <v>SIM</v>
      </c>
      <c r="F29" s="17" t="str">
        <f>IFERROR(INDEX(Mesarios!$D$2:$D$112,MATCH($A29&amp;"|"&amp;F$1,Mesarios!$F$2:$F$112,0)),"VAGO")</f>
        <v>VAGO</v>
      </c>
      <c r="G29" s="18" t="str">
        <f>IFERROR(INDEX(Mesarios!$M$2:$M$112,MATCH($A29&amp;"|"&amp;F$1,Mesarios!$F$2:$F$112,0)),"VAGO")</f>
        <v>VAGO</v>
      </c>
      <c r="H29" s="17" t="str">
        <f>IFERROR(INDEX(Mesarios!$D$2:$D$112,MATCH($A29&amp;"|"&amp;H$1,Mesarios!$F$2:$F$112,0)),"VAGO")</f>
        <v>IVANI BATISTA DE FREITAS MONTEIRO</v>
      </c>
      <c r="I29" s="18" t="str">
        <f>IFERROR(INDEX(Mesarios!$M$2:$M$112,MATCH($A29&amp;"|"&amp;H$1,Mesarios!$F$2:$F$112,0)),"VAGO")</f>
        <v>SIM</v>
      </c>
      <c r="J29" s="18">
        <f t="shared" si="0"/>
        <v>3</v>
      </c>
      <c r="K29" s="18">
        <f t="shared" si="1"/>
        <v>0</v>
      </c>
      <c r="L29" s="18">
        <f t="shared" si="2"/>
        <v>0</v>
      </c>
      <c r="M29" s="17" t="str">
        <f t="shared" si="3"/>
        <v>Falta 1</v>
      </c>
      <c r="N29" s="19">
        <f>'Por secao'!N29</f>
        <v>296</v>
      </c>
      <c r="O29" s="18" t="str">
        <f>'Por secao'!O29</f>
        <v>Baixo</v>
      </c>
    </row>
    <row r="30" spans="1:15" x14ac:dyDescent="0.25">
      <c r="A30" s="20" t="s">
        <v>405</v>
      </c>
      <c r="J30" s="20">
        <f>SUM(J2:J29)</f>
        <v>92</v>
      </c>
      <c r="K30" s="20">
        <f>SUM(K2:K29)</f>
        <v>19</v>
      </c>
      <c r="L30" s="20">
        <f>SUM(L2:L29)</f>
        <v>0</v>
      </c>
      <c r="M30" s="20" t="str">
        <f>COUNTIF(M2:M29,"Mesa completa")&amp;" completas · "&amp;COUNTIF(M2:M29,"Falta 1")&amp;" falta 1 · "&amp;COUNTIF(M2:M29,"ATENÇÃO*")&amp;" em atenção"</f>
        <v>13 completas · 10 falta 1 · 5 em atenção</v>
      </c>
    </row>
    <row r="32" spans="1:15" x14ac:dyDescent="0.25">
      <c r="A32" s="6" t="s">
        <v>406</v>
      </c>
    </row>
  </sheetData>
  <autoFilter ref="A1:O29" xr:uid="{00000000-0009-0000-0000-000002000000}"/>
  <conditionalFormatting sqref="A2:A29">
    <cfRule type="expression" dxfId="20" priority="10">
      <formula>$O2="Alto"</formula>
    </cfRule>
    <cfRule type="expression" dxfId="19" priority="11">
      <formula>$O2="Médio"</formula>
    </cfRule>
    <cfRule type="expression" dxfId="18" priority="12">
      <formula>$O2="Baixo"</formula>
    </cfRule>
  </conditionalFormatting>
  <conditionalFormatting sqref="C2:C29 E2:E29 G2:G29 I2:I29">
    <cfRule type="expression" dxfId="17" priority="2">
      <formula>C2="SIM"</formula>
    </cfRule>
    <cfRule type="expression" dxfId="16" priority="3">
      <formula>C2="NAO"</formula>
    </cfRule>
    <cfRule type="expression" dxfId="15" priority="4">
      <formula>C2="0006/2026"</formula>
    </cfRule>
    <cfRule type="expression" dxfId="14" priority="5">
      <formula>C2="-"</formula>
    </cfRule>
    <cfRule type="expression" dxfId="13" priority="6">
      <formula>C2="VAGO"</formula>
    </cfRule>
  </conditionalFormatting>
  <conditionalFormatting sqref="J2:J29">
    <cfRule type="expression" dxfId="12" priority="7">
      <formula>J2&lt;3</formula>
    </cfRule>
  </conditionalFormatting>
  <conditionalFormatting sqref="M2:M29">
    <cfRule type="expression" dxfId="11" priority="8">
      <formula>LEFT(M2,7)="ATENÇÃO"</formula>
    </cfRule>
    <cfRule type="expression" dxfId="10" priority="9">
      <formula>M2="Falta 1"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4" sqref="K4"/>
    </sheetView>
  </sheetViews>
  <sheetFormatPr defaultColWidth="8.7109375" defaultRowHeight="15" x14ac:dyDescent="0.25"/>
  <cols>
    <col min="1" max="1" width="9" customWidth="1"/>
    <col min="2" max="5" width="12" customWidth="1"/>
    <col min="6" max="6" width="13" customWidth="1"/>
    <col min="7" max="7" width="12" customWidth="1"/>
    <col min="8" max="8" width="14" customWidth="1"/>
    <col min="9" max="9" width="22" customWidth="1"/>
    <col min="10" max="10" width="10" customWidth="1"/>
    <col min="11" max="11" width="40" customWidth="1"/>
    <col min="12" max="13" width="11" customWidth="1"/>
    <col min="14" max="14" width="11.7109375" customWidth="1"/>
    <col min="15" max="15" width="15.85546875" customWidth="1"/>
  </cols>
  <sheetData>
    <row r="1" spans="1:15" ht="30" customHeight="1" x14ac:dyDescent="0.25">
      <c r="A1" s="21" t="s">
        <v>19</v>
      </c>
      <c r="B1" s="21" t="s">
        <v>407</v>
      </c>
      <c r="C1" s="21" t="s">
        <v>33</v>
      </c>
      <c r="D1" s="21" t="s">
        <v>44</v>
      </c>
      <c r="E1" s="21" t="s">
        <v>48</v>
      </c>
      <c r="F1" s="21" t="s">
        <v>55</v>
      </c>
      <c r="G1" s="21" t="s">
        <v>2</v>
      </c>
      <c r="H1" s="21" t="s">
        <v>3</v>
      </c>
      <c r="I1" s="21" t="s">
        <v>408</v>
      </c>
      <c r="J1" s="21" t="s">
        <v>409</v>
      </c>
      <c r="K1" s="22" t="s">
        <v>402</v>
      </c>
      <c r="L1" s="21" t="s">
        <v>410</v>
      </c>
      <c r="M1" s="21" t="s">
        <v>411</v>
      </c>
      <c r="N1" s="21" t="s">
        <v>403</v>
      </c>
      <c r="O1" s="21" t="s">
        <v>404</v>
      </c>
    </row>
    <row r="2" spans="1:15" x14ac:dyDescent="0.25">
      <c r="A2" s="23">
        <v>511</v>
      </c>
      <c r="B2" s="24">
        <f>COUNTIFS(Mesarios!$A$2:$A$112,$A2)</f>
        <v>4</v>
      </c>
      <c r="C2" s="24" t="str">
        <f>IF(COUNTIFS(Mesarios!$A$2:$A$112,$A2,Mesarios!$B$2:$B$112,C$1)&gt;0,"✓","VAGO")</f>
        <v>✓</v>
      </c>
      <c r="D2" s="24" t="str">
        <f>IF(COUNTIFS(Mesarios!$A$2:$A$112,$A2,Mesarios!$B$2:$B$112,D$1)&gt;0,"✓","VAGO")</f>
        <v>✓</v>
      </c>
      <c r="E2" s="24" t="str">
        <f>IF(COUNTIFS(Mesarios!$A$2:$A$112,$A2,Mesarios!$B$2:$B$112,E$1)&gt;0,"✓","VAGO")</f>
        <v>✓</v>
      </c>
      <c r="F2" s="24" t="str">
        <f>IF(COUNTIFS(Mesarios!$A$2:$A$112,$A2,Mesarios!$B$2:$B$112,F$1)&gt;0,"✓","VAGO")</f>
        <v>✓</v>
      </c>
      <c r="G2" s="24">
        <f>COUNTIFS(Mesarios!$A$2:$A$112,$A2,Mesarios!$M$2:$M$112,"SIM")</f>
        <v>4</v>
      </c>
      <c r="H2" s="24">
        <f>COUNTIFS(Mesarios!$A$2:$A$112,$A2,Mesarios!$M$2:$M$112,"NAO")</f>
        <v>0</v>
      </c>
      <c r="I2" s="24">
        <f>COUNTIFS(Mesarios!$A$2:$A$112,$A2,Mesarios!$M$2:$M$112,"0006/2026")+COUNTIFS(Mesarios!$A$2:$A$112,$A2,Mesarios!$M$2:$M$112,"-")</f>
        <v>0</v>
      </c>
      <c r="J2" s="24">
        <f t="shared" ref="J2:J29" si="0">COUNTIF(C2:F2,"VAGO")</f>
        <v>0</v>
      </c>
      <c r="K2" s="25" t="str">
        <f t="shared" ref="K2:K29" si="1">IF(B2&lt;4,"Mesa com "&amp;B2&amp;" designados","")&amp;IF(AND(B2&lt;4,G2&lt;3)," · ","")&amp;IF(G2&lt;3,"Só "&amp;G2&amp;" presentes","")</f>
        <v/>
      </c>
      <c r="L2" s="26">
        <v>1100</v>
      </c>
      <c r="M2" s="27">
        <v>582</v>
      </c>
      <c r="N2" s="27">
        <v>375</v>
      </c>
      <c r="O2" s="24" t="str">
        <f t="shared" ref="O2:O29" si="2">IF(N2&gt;=$N$34,"Alto",IF(N2&gt;=$N$35,"Médio","Baixo"))</f>
        <v>Baixo</v>
      </c>
    </row>
    <row r="3" spans="1:15" x14ac:dyDescent="0.25">
      <c r="A3" s="23">
        <v>512</v>
      </c>
      <c r="B3" s="24">
        <f>COUNTIFS(Mesarios!$A$2:$A$112,$A3)</f>
        <v>4</v>
      </c>
      <c r="C3" s="24" t="str">
        <f>IF(COUNTIFS(Mesarios!$A$2:$A$112,$A3,Mesarios!$B$2:$B$112,C$1)&gt;0,"✓","VAGO")</f>
        <v>✓</v>
      </c>
      <c r="D3" s="24" t="str">
        <f>IF(COUNTIFS(Mesarios!$A$2:$A$112,$A3,Mesarios!$B$2:$B$112,D$1)&gt;0,"✓","VAGO")</f>
        <v>✓</v>
      </c>
      <c r="E3" s="24" t="str">
        <f>IF(COUNTIFS(Mesarios!$A$2:$A$112,$A3,Mesarios!$B$2:$B$112,E$1)&gt;0,"✓","VAGO")</f>
        <v>✓</v>
      </c>
      <c r="F3" s="24" t="str">
        <f>IF(COUNTIFS(Mesarios!$A$2:$A$112,$A3,Mesarios!$B$2:$B$112,F$1)&gt;0,"✓","VAGO")</f>
        <v>✓</v>
      </c>
      <c r="G3" s="24">
        <f>COUNTIFS(Mesarios!$A$2:$A$112,$A3,Mesarios!$M$2:$M$112,"SIM")</f>
        <v>2</v>
      </c>
      <c r="H3" s="24">
        <f>COUNTIFS(Mesarios!$A$2:$A$112,$A3,Mesarios!$M$2:$M$112,"NAO")</f>
        <v>2</v>
      </c>
      <c r="I3" s="24">
        <f>COUNTIFS(Mesarios!$A$2:$A$112,$A3,Mesarios!$M$2:$M$112,"0006/2026")+COUNTIFS(Mesarios!$A$2:$A$112,$A3,Mesarios!$M$2:$M$112,"-")</f>
        <v>0</v>
      </c>
      <c r="J3" s="24">
        <f t="shared" si="0"/>
        <v>0</v>
      </c>
      <c r="K3" s="25" t="str">
        <f t="shared" si="1"/>
        <v>Só 2 presentes</v>
      </c>
      <c r="L3" s="26">
        <v>2855</v>
      </c>
      <c r="M3" s="27">
        <v>476</v>
      </c>
      <c r="N3" s="27">
        <v>355</v>
      </c>
      <c r="O3" s="24" t="str">
        <f t="shared" si="2"/>
        <v>Baixo</v>
      </c>
    </row>
    <row r="4" spans="1:15" x14ac:dyDescent="0.25">
      <c r="A4" s="23">
        <v>513</v>
      </c>
      <c r="B4" s="24">
        <f>COUNTIFS(Mesarios!$A$2:$A$112,$A4)</f>
        <v>4</v>
      </c>
      <c r="C4" s="24" t="str">
        <f>IF(COUNTIFS(Mesarios!$A$2:$A$112,$A4,Mesarios!$B$2:$B$112,C$1)&gt;0,"✓","VAGO")</f>
        <v>✓</v>
      </c>
      <c r="D4" s="24" t="str">
        <f>IF(COUNTIFS(Mesarios!$A$2:$A$112,$A4,Mesarios!$B$2:$B$112,D$1)&gt;0,"✓","VAGO")</f>
        <v>✓</v>
      </c>
      <c r="E4" s="24" t="str">
        <f>IF(COUNTIFS(Mesarios!$A$2:$A$112,$A4,Mesarios!$B$2:$B$112,E$1)&gt;0,"✓","VAGO")</f>
        <v>✓</v>
      </c>
      <c r="F4" s="24" t="str">
        <f>IF(COUNTIFS(Mesarios!$A$2:$A$112,$A4,Mesarios!$B$2:$B$112,F$1)&gt;0,"✓","VAGO")</f>
        <v>✓</v>
      </c>
      <c r="G4" s="24">
        <f>COUNTIFS(Mesarios!$A$2:$A$112,$A4,Mesarios!$M$2:$M$112,"SIM")</f>
        <v>2</v>
      </c>
      <c r="H4" s="24">
        <f>COUNTIFS(Mesarios!$A$2:$A$112,$A4,Mesarios!$M$2:$M$112,"NAO")</f>
        <v>2</v>
      </c>
      <c r="I4" s="24">
        <f>COUNTIFS(Mesarios!$A$2:$A$112,$A4,Mesarios!$M$2:$M$112,"0006/2026")+COUNTIFS(Mesarios!$A$2:$A$112,$A4,Mesarios!$M$2:$M$112,"-")</f>
        <v>0</v>
      </c>
      <c r="J4" s="24">
        <f t="shared" si="0"/>
        <v>0</v>
      </c>
      <c r="K4" s="25" t="str">
        <f t="shared" si="1"/>
        <v>Só 2 presentes</v>
      </c>
      <c r="L4" s="26">
        <v>1105</v>
      </c>
      <c r="M4" s="27">
        <v>502</v>
      </c>
      <c r="N4" s="27">
        <v>351</v>
      </c>
      <c r="O4" s="24" t="str">
        <f t="shared" si="2"/>
        <v>Baixo</v>
      </c>
    </row>
    <row r="5" spans="1:15" x14ac:dyDescent="0.25">
      <c r="A5" s="23">
        <v>517</v>
      </c>
      <c r="B5" s="24">
        <f>COUNTIFS(Mesarios!$A$2:$A$112,$A5)</f>
        <v>4</v>
      </c>
      <c r="C5" s="24" t="str">
        <f>IF(COUNTIFS(Mesarios!$A$2:$A$112,$A5,Mesarios!$B$2:$B$112,C$1)&gt;0,"✓","VAGO")</f>
        <v>✓</v>
      </c>
      <c r="D5" s="24" t="str">
        <f>IF(COUNTIFS(Mesarios!$A$2:$A$112,$A5,Mesarios!$B$2:$B$112,D$1)&gt;0,"✓","VAGO")</f>
        <v>✓</v>
      </c>
      <c r="E5" s="24" t="str">
        <f>IF(COUNTIFS(Mesarios!$A$2:$A$112,$A5,Mesarios!$B$2:$B$112,E$1)&gt;0,"✓","VAGO")</f>
        <v>✓</v>
      </c>
      <c r="F5" s="24" t="str">
        <f>IF(COUNTIFS(Mesarios!$A$2:$A$112,$A5,Mesarios!$B$2:$B$112,F$1)&gt;0,"✓","VAGO")</f>
        <v>✓</v>
      </c>
      <c r="G5" s="24">
        <f>COUNTIFS(Mesarios!$A$2:$A$112,$A5,Mesarios!$M$2:$M$112,"SIM")</f>
        <v>4</v>
      </c>
      <c r="H5" s="24">
        <f>COUNTIFS(Mesarios!$A$2:$A$112,$A5,Mesarios!$M$2:$M$112,"NAO")</f>
        <v>0</v>
      </c>
      <c r="I5" s="24">
        <f>COUNTIFS(Mesarios!$A$2:$A$112,$A5,Mesarios!$M$2:$M$112,"0006/2026")+COUNTIFS(Mesarios!$A$2:$A$112,$A5,Mesarios!$M$2:$M$112,"-")</f>
        <v>0</v>
      </c>
      <c r="J5" s="24">
        <f t="shared" si="0"/>
        <v>0</v>
      </c>
      <c r="K5" s="25" t="str">
        <f t="shared" si="1"/>
        <v/>
      </c>
      <c r="L5" s="26">
        <v>1292</v>
      </c>
      <c r="M5" s="27">
        <v>513</v>
      </c>
      <c r="N5" s="27">
        <v>348</v>
      </c>
      <c r="O5" s="24" t="str">
        <f t="shared" si="2"/>
        <v>Baixo</v>
      </c>
    </row>
    <row r="6" spans="1:15" x14ac:dyDescent="0.25">
      <c r="A6" s="23">
        <v>1160</v>
      </c>
      <c r="B6" s="24">
        <f>COUNTIFS(Mesarios!$A$2:$A$112,$A6)</f>
        <v>4</v>
      </c>
      <c r="C6" s="24" t="str">
        <f>IF(COUNTIFS(Mesarios!$A$2:$A$112,$A6,Mesarios!$B$2:$B$112,C$1)&gt;0,"✓","VAGO")</f>
        <v>✓</v>
      </c>
      <c r="D6" s="24" t="str">
        <f>IF(COUNTIFS(Mesarios!$A$2:$A$112,$A6,Mesarios!$B$2:$B$112,D$1)&gt;0,"✓","VAGO")</f>
        <v>✓</v>
      </c>
      <c r="E6" s="24" t="str">
        <f>IF(COUNTIFS(Mesarios!$A$2:$A$112,$A6,Mesarios!$B$2:$B$112,E$1)&gt;0,"✓","VAGO")</f>
        <v>✓</v>
      </c>
      <c r="F6" s="24" t="str">
        <f>IF(COUNTIFS(Mesarios!$A$2:$A$112,$A6,Mesarios!$B$2:$B$112,F$1)&gt;0,"✓","VAGO")</f>
        <v>✓</v>
      </c>
      <c r="G6" s="24">
        <f>COUNTIFS(Mesarios!$A$2:$A$112,$A6,Mesarios!$M$2:$M$112,"SIM")</f>
        <v>4</v>
      </c>
      <c r="H6" s="24">
        <f>COUNTIFS(Mesarios!$A$2:$A$112,$A6,Mesarios!$M$2:$M$112,"NAO")</f>
        <v>0</v>
      </c>
      <c r="I6" s="24">
        <f>COUNTIFS(Mesarios!$A$2:$A$112,$A6,Mesarios!$M$2:$M$112,"0006/2026")+COUNTIFS(Mesarios!$A$2:$A$112,$A6,Mesarios!$M$2:$M$112,"-")</f>
        <v>0</v>
      </c>
      <c r="J6" s="24">
        <f t="shared" si="0"/>
        <v>0</v>
      </c>
      <c r="K6" s="25" t="str">
        <f t="shared" si="1"/>
        <v/>
      </c>
      <c r="L6" s="26">
        <v>3845</v>
      </c>
      <c r="M6" s="27">
        <v>473</v>
      </c>
      <c r="N6" s="27">
        <v>328</v>
      </c>
      <c r="O6" s="24" t="str">
        <f t="shared" si="2"/>
        <v>Baixo</v>
      </c>
    </row>
    <row r="7" spans="1:15" x14ac:dyDescent="0.25">
      <c r="A7" s="23">
        <v>1352</v>
      </c>
      <c r="B7" s="24">
        <f>COUNTIFS(Mesarios!$A$2:$A$112,$A7)</f>
        <v>4</v>
      </c>
      <c r="C7" s="24" t="str">
        <f>IF(COUNTIFS(Mesarios!$A$2:$A$112,$A7,Mesarios!$B$2:$B$112,C$1)&gt;0,"✓","VAGO")</f>
        <v>✓</v>
      </c>
      <c r="D7" s="24" t="str">
        <f>IF(COUNTIFS(Mesarios!$A$2:$A$112,$A7,Mesarios!$B$2:$B$112,D$1)&gt;0,"✓","VAGO")</f>
        <v>✓</v>
      </c>
      <c r="E7" s="24" t="str">
        <f>IF(COUNTIFS(Mesarios!$A$2:$A$112,$A7,Mesarios!$B$2:$B$112,E$1)&gt;0,"✓","VAGO")</f>
        <v>✓</v>
      </c>
      <c r="F7" s="24" t="str">
        <f>IF(COUNTIFS(Mesarios!$A$2:$A$112,$A7,Mesarios!$B$2:$B$112,F$1)&gt;0,"✓","VAGO")</f>
        <v>✓</v>
      </c>
      <c r="G7" s="24">
        <f>COUNTIFS(Mesarios!$A$2:$A$112,$A7,Mesarios!$M$2:$M$112,"SIM")</f>
        <v>4</v>
      </c>
      <c r="H7" s="24">
        <f>COUNTIFS(Mesarios!$A$2:$A$112,$A7,Mesarios!$M$2:$M$112,"NAO")</f>
        <v>0</v>
      </c>
      <c r="I7" s="24">
        <f>COUNTIFS(Mesarios!$A$2:$A$112,$A7,Mesarios!$M$2:$M$112,"0006/2026")+COUNTIFS(Mesarios!$A$2:$A$112,$A7,Mesarios!$M$2:$M$112,"-")</f>
        <v>0</v>
      </c>
      <c r="J7" s="24">
        <f t="shared" si="0"/>
        <v>0</v>
      </c>
      <c r="K7" s="25" t="str">
        <f t="shared" si="1"/>
        <v/>
      </c>
      <c r="L7" s="26">
        <v>522</v>
      </c>
      <c r="M7" s="27">
        <v>462</v>
      </c>
      <c r="N7" s="27">
        <v>328</v>
      </c>
      <c r="O7" s="24" t="str">
        <f t="shared" si="2"/>
        <v>Baixo</v>
      </c>
    </row>
    <row r="8" spans="1:15" x14ac:dyDescent="0.25">
      <c r="A8" s="23">
        <v>3054</v>
      </c>
      <c r="B8" s="24">
        <f>COUNTIFS(Mesarios!$A$2:$A$112,$A8)</f>
        <v>4</v>
      </c>
      <c r="C8" s="24" t="str">
        <f>IF(COUNTIFS(Mesarios!$A$2:$A$112,$A8,Mesarios!$B$2:$B$112,C$1)&gt;0,"✓","VAGO")</f>
        <v>✓</v>
      </c>
      <c r="D8" s="24" t="str">
        <f>IF(COUNTIFS(Mesarios!$A$2:$A$112,$A8,Mesarios!$B$2:$B$112,D$1)&gt;0,"✓","VAGO")</f>
        <v>✓</v>
      </c>
      <c r="E8" s="24" t="str">
        <f>IF(COUNTIFS(Mesarios!$A$2:$A$112,$A8,Mesarios!$B$2:$B$112,E$1)&gt;0,"✓","VAGO")</f>
        <v>✓</v>
      </c>
      <c r="F8" s="24" t="str">
        <f>IF(COUNTIFS(Mesarios!$A$2:$A$112,$A8,Mesarios!$B$2:$B$112,F$1)&gt;0,"✓","VAGO")</f>
        <v>✓</v>
      </c>
      <c r="G8" s="24">
        <f>COUNTIFS(Mesarios!$A$2:$A$112,$A8,Mesarios!$M$2:$M$112,"SIM")</f>
        <v>3</v>
      </c>
      <c r="H8" s="24">
        <f>COUNTIFS(Mesarios!$A$2:$A$112,$A8,Mesarios!$M$2:$M$112,"NAO")</f>
        <v>1</v>
      </c>
      <c r="I8" s="24">
        <f>COUNTIFS(Mesarios!$A$2:$A$112,$A8,Mesarios!$M$2:$M$112,"0006/2026")+COUNTIFS(Mesarios!$A$2:$A$112,$A8,Mesarios!$M$2:$M$112,"-")</f>
        <v>0</v>
      </c>
      <c r="J8" s="24">
        <f t="shared" si="0"/>
        <v>0</v>
      </c>
      <c r="K8" s="25" t="str">
        <f t="shared" si="1"/>
        <v/>
      </c>
      <c r="L8" s="26">
        <v>1099</v>
      </c>
      <c r="M8" s="27">
        <v>454</v>
      </c>
      <c r="N8" s="27">
        <v>325</v>
      </c>
      <c r="O8" s="24" t="str">
        <f t="shared" si="2"/>
        <v>Baixo</v>
      </c>
    </row>
    <row r="9" spans="1:15" x14ac:dyDescent="0.25">
      <c r="A9" s="23">
        <v>3078</v>
      </c>
      <c r="B9" s="24">
        <f>COUNTIFS(Mesarios!$A$2:$A$112,$A9)</f>
        <v>4</v>
      </c>
      <c r="C9" s="24" t="str">
        <f>IF(COUNTIFS(Mesarios!$A$2:$A$112,$A9,Mesarios!$B$2:$B$112,C$1)&gt;0,"✓","VAGO")</f>
        <v>✓</v>
      </c>
      <c r="D9" s="24" t="str">
        <f>IF(COUNTIFS(Mesarios!$A$2:$A$112,$A9,Mesarios!$B$2:$B$112,D$1)&gt;0,"✓","VAGO")</f>
        <v>✓</v>
      </c>
      <c r="E9" s="24" t="str">
        <f>IF(COUNTIFS(Mesarios!$A$2:$A$112,$A9,Mesarios!$B$2:$B$112,E$1)&gt;0,"✓","VAGO")</f>
        <v>✓</v>
      </c>
      <c r="F9" s="24" t="str">
        <f>IF(COUNTIFS(Mesarios!$A$2:$A$112,$A9,Mesarios!$B$2:$B$112,F$1)&gt;0,"✓","VAGO")</f>
        <v>✓</v>
      </c>
      <c r="G9" s="24">
        <f>COUNTIFS(Mesarios!$A$2:$A$112,$A9,Mesarios!$M$2:$M$112,"SIM")</f>
        <v>4</v>
      </c>
      <c r="H9" s="24">
        <f>COUNTIFS(Mesarios!$A$2:$A$112,$A9,Mesarios!$M$2:$M$112,"NAO")</f>
        <v>0</v>
      </c>
      <c r="I9" s="24">
        <f>COUNTIFS(Mesarios!$A$2:$A$112,$A9,Mesarios!$M$2:$M$112,"0006/2026")+COUNTIFS(Mesarios!$A$2:$A$112,$A9,Mesarios!$M$2:$M$112,"-")</f>
        <v>0</v>
      </c>
      <c r="J9" s="24">
        <f t="shared" si="0"/>
        <v>0</v>
      </c>
      <c r="K9" s="25" t="str">
        <f t="shared" si="1"/>
        <v/>
      </c>
      <c r="L9" s="26">
        <v>2847</v>
      </c>
      <c r="M9" s="27">
        <v>429</v>
      </c>
      <c r="N9" s="27">
        <v>311</v>
      </c>
      <c r="O9" s="24" t="str">
        <f t="shared" si="2"/>
        <v>Baixo</v>
      </c>
    </row>
    <row r="10" spans="1:15" x14ac:dyDescent="0.25">
      <c r="A10" s="23">
        <v>3108</v>
      </c>
      <c r="B10" s="24">
        <f>COUNTIFS(Mesarios!$A$2:$A$112,$A10)</f>
        <v>4</v>
      </c>
      <c r="C10" s="24" t="str">
        <f>IF(COUNTIFS(Mesarios!$A$2:$A$112,$A10,Mesarios!$B$2:$B$112,C$1)&gt;0,"✓","VAGO")</f>
        <v>✓</v>
      </c>
      <c r="D10" s="24" t="str">
        <f>IF(COUNTIFS(Mesarios!$A$2:$A$112,$A10,Mesarios!$B$2:$B$112,D$1)&gt;0,"✓","VAGO")</f>
        <v>✓</v>
      </c>
      <c r="E10" s="24" t="str">
        <f>IF(COUNTIFS(Mesarios!$A$2:$A$112,$A10,Mesarios!$B$2:$B$112,E$1)&gt;0,"✓","VAGO")</f>
        <v>✓</v>
      </c>
      <c r="F10" s="24" t="str">
        <f>IF(COUNTIFS(Mesarios!$A$2:$A$112,$A10,Mesarios!$B$2:$B$112,F$1)&gt;0,"✓","VAGO")</f>
        <v>✓</v>
      </c>
      <c r="G10" s="24">
        <f>COUNTIFS(Mesarios!$A$2:$A$112,$A10,Mesarios!$M$2:$M$112,"SIM")</f>
        <v>3</v>
      </c>
      <c r="H10" s="24">
        <f>COUNTIFS(Mesarios!$A$2:$A$112,$A10,Mesarios!$M$2:$M$112,"NAO")</f>
        <v>1</v>
      </c>
      <c r="I10" s="24">
        <f>COUNTIFS(Mesarios!$A$2:$A$112,$A10,Mesarios!$M$2:$M$112,"0006/2026")+COUNTIFS(Mesarios!$A$2:$A$112,$A10,Mesarios!$M$2:$M$112,"-")</f>
        <v>0</v>
      </c>
      <c r="J10" s="24">
        <f t="shared" si="0"/>
        <v>0</v>
      </c>
      <c r="K10" s="25" t="str">
        <f t="shared" si="1"/>
        <v/>
      </c>
      <c r="L10" s="26">
        <v>3422</v>
      </c>
      <c r="M10" s="27">
        <v>756</v>
      </c>
      <c r="N10" s="27">
        <v>467</v>
      </c>
      <c r="O10" s="24" t="str">
        <f t="shared" si="2"/>
        <v>Médio</v>
      </c>
    </row>
    <row r="11" spans="1:15" x14ac:dyDescent="0.25">
      <c r="A11" s="23">
        <v>3142</v>
      </c>
      <c r="B11" s="24">
        <f>COUNTIFS(Mesarios!$A$2:$A$112,$A11)</f>
        <v>4</v>
      </c>
      <c r="C11" s="24" t="str">
        <f>IF(COUNTIFS(Mesarios!$A$2:$A$112,$A11,Mesarios!$B$2:$B$112,C$1)&gt;0,"✓","VAGO")</f>
        <v>✓</v>
      </c>
      <c r="D11" s="24" t="str">
        <f>IF(COUNTIFS(Mesarios!$A$2:$A$112,$A11,Mesarios!$B$2:$B$112,D$1)&gt;0,"✓","VAGO")</f>
        <v>✓</v>
      </c>
      <c r="E11" s="24" t="str">
        <f>IF(COUNTIFS(Mesarios!$A$2:$A$112,$A11,Mesarios!$B$2:$B$112,E$1)&gt;0,"✓","VAGO")</f>
        <v>✓</v>
      </c>
      <c r="F11" s="24" t="str">
        <f>IF(COUNTIFS(Mesarios!$A$2:$A$112,$A11,Mesarios!$B$2:$B$112,F$1)&gt;0,"✓","VAGO")</f>
        <v>✓</v>
      </c>
      <c r="G11" s="24">
        <f>COUNTIFS(Mesarios!$A$2:$A$112,$A11,Mesarios!$M$2:$M$112,"SIM")</f>
        <v>3</v>
      </c>
      <c r="H11" s="24">
        <f>COUNTIFS(Mesarios!$A$2:$A$112,$A11,Mesarios!$M$2:$M$112,"NAO")</f>
        <v>1</v>
      </c>
      <c r="I11" s="24">
        <f>COUNTIFS(Mesarios!$A$2:$A$112,$A11,Mesarios!$M$2:$M$112,"0006/2026")+COUNTIFS(Mesarios!$A$2:$A$112,$A11,Mesarios!$M$2:$M$112,"-")</f>
        <v>0</v>
      </c>
      <c r="J11" s="24">
        <f t="shared" si="0"/>
        <v>0</v>
      </c>
      <c r="K11" s="25" t="str">
        <f t="shared" si="1"/>
        <v/>
      </c>
      <c r="L11" s="26">
        <v>1278</v>
      </c>
      <c r="M11" s="27">
        <v>793</v>
      </c>
      <c r="N11" s="27">
        <v>466</v>
      </c>
      <c r="O11" s="24" t="str">
        <f t="shared" si="2"/>
        <v>Médio</v>
      </c>
    </row>
    <row r="12" spans="1:15" x14ac:dyDescent="0.25">
      <c r="A12" s="23">
        <v>3161</v>
      </c>
      <c r="B12" s="24">
        <f>COUNTIFS(Mesarios!$A$2:$A$112,$A12)</f>
        <v>4</v>
      </c>
      <c r="C12" s="24" t="str">
        <f>IF(COUNTIFS(Mesarios!$A$2:$A$112,$A12,Mesarios!$B$2:$B$112,C$1)&gt;0,"✓","VAGO")</f>
        <v>✓</v>
      </c>
      <c r="D12" s="24" t="str">
        <f>IF(COUNTIFS(Mesarios!$A$2:$A$112,$A12,Mesarios!$B$2:$B$112,D$1)&gt;0,"✓","VAGO")</f>
        <v>✓</v>
      </c>
      <c r="E12" s="24" t="str">
        <f>IF(COUNTIFS(Mesarios!$A$2:$A$112,$A12,Mesarios!$B$2:$B$112,E$1)&gt;0,"✓","VAGO")</f>
        <v>✓</v>
      </c>
      <c r="F12" s="24" t="str">
        <f>IF(COUNTIFS(Mesarios!$A$2:$A$112,$A12,Mesarios!$B$2:$B$112,F$1)&gt;0,"✓","VAGO")</f>
        <v>✓</v>
      </c>
      <c r="G12" s="24">
        <f>COUNTIFS(Mesarios!$A$2:$A$112,$A12,Mesarios!$M$2:$M$112,"SIM")</f>
        <v>3</v>
      </c>
      <c r="H12" s="24">
        <f>COUNTIFS(Mesarios!$A$2:$A$112,$A12,Mesarios!$M$2:$M$112,"NAO")</f>
        <v>1</v>
      </c>
      <c r="I12" s="24">
        <f>COUNTIFS(Mesarios!$A$2:$A$112,$A12,Mesarios!$M$2:$M$112,"0006/2026")+COUNTIFS(Mesarios!$A$2:$A$112,$A12,Mesarios!$M$2:$M$112,"-")</f>
        <v>0</v>
      </c>
      <c r="J12" s="24">
        <f t="shared" si="0"/>
        <v>0</v>
      </c>
      <c r="K12" s="25" t="str">
        <f t="shared" si="1"/>
        <v/>
      </c>
      <c r="L12" s="26">
        <v>3307</v>
      </c>
      <c r="M12" s="27">
        <v>791</v>
      </c>
      <c r="N12" s="27">
        <v>504</v>
      </c>
      <c r="O12" s="24" t="str">
        <f t="shared" si="2"/>
        <v>Médio</v>
      </c>
    </row>
    <row r="13" spans="1:15" x14ac:dyDescent="0.25">
      <c r="A13" s="23">
        <v>3179</v>
      </c>
      <c r="B13" s="24">
        <f>COUNTIFS(Mesarios!$A$2:$A$112,$A13)</f>
        <v>4</v>
      </c>
      <c r="C13" s="24" t="str">
        <f>IF(COUNTIFS(Mesarios!$A$2:$A$112,$A13,Mesarios!$B$2:$B$112,C$1)&gt;0,"✓","VAGO")</f>
        <v>✓</v>
      </c>
      <c r="D13" s="24" t="str">
        <f>IF(COUNTIFS(Mesarios!$A$2:$A$112,$A13,Mesarios!$B$2:$B$112,D$1)&gt;0,"✓","VAGO")</f>
        <v>✓</v>
      </c>
      <c r="E13" s="24" t="str">
        <f>IF(COUNTIFS(Mesarios!$A$2:$A$112,$A13,Mesarios!$B$2:$B$112,E$1)&gt;0,"✓","VAGO")</f>
        <v>✓</v>
      </c>
      <c r="F13" s="24" t="str">
        <f>IF(COUNTIFS(Mesarios!$A$2:$A$112,$A13,Mesarios!$B$2:$B$112,F$1)&gt;0,"✓","VAGO")</f>
        <v>✓</v>
      </c>
      <c r="G13" s="24">
        <f>COUNTIFS(Mesarios!$A$2:$A$112,$A13,Mesarios!$M$2:$M$112,"SIM")</f>
        <v>2</v>
      </c>
      <c r="H13" s="24">
        <f>COUNTIFS(Mesarios!$A$2:$A$112,$A13,Mesarios!$M$2:$M$112,"NAO")</f>
        <v>2</v>
      </c>
      <c r="I13" s="24">
        <f>COUNTIFS(Mesarios!$A$2:$A$112,$A13,Mesarios!$M$2:$M$112,"0006/2026")+COUNTIFS(Mesarios!$A$2:$A$112,$A13,Mesarios!$M$2:$M$112,"-")</f>
        <v>0</v>
      </c>
      <c r="J13" s="24">
        <f t="shared" si="0"/>
        <v>0</v>
      </c>
      <c r="K13" s="25" t="str">
        <f t="shared" si="1"/>
        <v>Só 2 presentes</v>
      </c>
      <c r="L13" s="26">
        <v>530</v>
      </c>
      <c r="M13" s="27">
        <v>676</v>
      </c>
      <c r="N13" s="27">
        <v>423</v>
      </c>
      <c r="O13" s="24" t="str">
        <f t="shared" si="2"/>
        <v>Baixo</v>
      </c>
    </row>
    <row r="14" spans="1:15" x14ac:dyDescent="0.25">
      <c r="A14" s="23">
        <v>3216</v>
      </c>
      <c r="B14" s="24">
        <f>COUNTIFS(Mesarios!$A$2:$A$112,$A14)</f>
        <v>4</v>
      </c>
      <c r="C14" s="24" t="str">
        <f>IF(COUNTIFS(Mesarios!$A$2:$A$112,$A14,Mesarios!$B$2:$B$112,C$1)&gt;0,"✓","VAGO")</f>
        <v>✓</v>
      </c>
      <c r="D14" s="24" t="str">
        <f>IF(COUNTIFS(Mesarios!$A$2:$A$112,$A14,Mesarios!$B$2:$B$112,D$1)&gt;0,"✓","VAGO")</f>
        <v>✓</v>
      </c>
      <c r="E14" s="24" t="str">
        <f>IF(COUNTIFS(Mesarios!$A$2:$A$112,$A14,Mesarios!$B$2:$B$112,E$1)&gt;0,"✓","VAGO")</f>
        <v>✓</v>
      </c>
      <c r="F14" s="24" t="str">
        <f>IF(COUNTIFS(Mesarios!$A$2:$A$112,$A14,Mesarios!$B$2:$B$112,F$1)&gt;0,"✓","VAGO")</f>
        <v>✓</v>
      </c>
      <c r="G14" s="24">
        <f>COUNTIFS(Mesarios!$A$2:$A$112,$A14,Mesarios!$M$2:$M$112,"SIM")</f>
        <v>4</v>
      </c>
      <c r="H14" s="24">
        <f>COUNTIFS(Mesarios!$A$2:$A$112,$A14,Mesarios!$M$2:$M$112,"NAO")</f>
        <v>0</v>
      </c>
      <c r="I14" s="24">
        <f>COUNTIFS(Mesarios!$A$2:$A$112,$A14,Mesarios!$M$2:$M$112,"0006/2026")+COUNTIFS(Mesarios!$A$2:$A$112,$A14,Mesarios!$M$2:$M$112,"-")</f>
        <v>0</v>
      </c>
      <c r="J14" s="24">
        <f t="shared" si="0"/>
        <v>0</v>
      </c>
      <c r="K14" s="25" t="str">
        <f t="shared" si="1"/>
        <v/>
      </c>
      <c r="L14" s="26">
        <v>527</v>
      </c>
      <c r="M14" s="27">
        <v>571</v>
      </c>
      <c r="N14" s="27">
        <v>407</v>
      </c>
      <c r="O14" s="24" t="str">
        <f t="shared" si="2"/>
        <v>Baixo</v>
      </c>
    </row>
    <row r="15" spans="1:15" x14ac:dyDescent="0.25">
      <c r="A15" s="23">
        <v>3229</v>
      </c>
      <c r="B15" s="24">
        <f>COUNTIFS(Mesarios!$A$2:$A$112,$A15)</f>
        <v>4</v>
      </c>
      <c r="C15" s="24" t="str">
        <f>IF(COUNTIFS(Mesarios!$A$2:$A$112,$A15,Mesarios!$B$2:$B$112,C$1)&gt;0,"✓","VAGO")</f>
        <v>✓</v>
      </c>
      <c r="D15" s="24" t="str">
        <f>IF(COUNTIFS(Mesarios!$A$2:$A$112,$A15,Mesarios!$B$2:$B$112,D$1)&gt;0,"✓","VAGO")</f>
        <v>✓</v>
      </c>
      <c r="E15" s="24" t="str">
        <f>IF(COUNTIFS(Mesarios!$A$2:$A$112,$A15,Mesarios!$B$2:$B$112,E$1)&gt;0,"✓","VAGO")</f>
        <v>✓</v>
      </c>
      <c r="F15" s="24" t="str">
        <f>IF(COUNTIFS(Mesarios!$A$2:$A$112,$A15,Mesarios!$B$2:$B$112,F$1)&gt;0,"✓","VAGO")</f>
        <v>✓</v>
      </c>
      <c r="G15" s="24">
        <f>COUNTIFS(Mesarios!$A$2:$A$112,$A15,Mesarios!$M$2:$M$112,"SIM")</f>
        <v>4</v>
      </c>
      <c r="H15" s="24">
        <f>COUNTIFS(Mesarios!$A$2:$A$112,$A15,Mesarios!$M$2:$M$112,"NAO")</f>
        <v>0</v>
      </c>
      <c r="I15" s="24">
        <f>COUNTIFS(Mesarios!$A$2:$A$112,$A15,Mesarios!$M$2:$M$112,"0006/2026")+COUNTIFS(Mesarios!$A$2:$A$112,$A15,Mesarios!$M$2:$M$112,"-")</f>
        <v>0</v>
      </c>
      <c r="J15" s="24">
        <f t="shared" si="0"/>
        <v>0</v>
      </c>
      <c r="K15" s="25" t="str">
        <f t="shared" si="1"/>
        <v/>
      </c>
      <c r="L15" s="26">
        <v>3821</v>
      </c>
      <c r="M15" s="27">
        <v>606</v>
      </c>
      <c r="N15" s="27">
        <v>405</v>
      </c>
      <c r="O15" s="24" t="str">
        <f t="shared" si="2"/>
        <v>Baixo</v>
      </c>
    </row>
    <row r="16" spans="1:15" x14ac:dyDescent="0.25">
      <c r="A16" s="23">
        <v>3245</v>
      </c>
      <c r="B16" s="24">
        <f>COUNTIFS(Mesarios!$A$2:$A$112,$A16)</f>
        <v>4</v>
      </c>
      <c r="C16" s="24" t="str">
        <f>IF(COUNTIFS(Mesarios!$A$2:$A$112,$A16,Mesarios!$B$2:$B$112,C$1)&gt;0,"✓","VAGO")</f>
        <v>✓</v>
      </c>
      <c r="D16" s="24" t="str">
        <f>IF(COUNTIFS(Mesarios!$A$2:$A$112,$A16,Mesarios!$B$2:$B$112,D$1)&gt;0,"✓","VAGO")</f>
        <v>✓</v>
      </c>
      <c r="E16" s="24" t="str">
        <f>IF(COUNTIFS(Mesarios!$A$2:$A$112,$A16,Mesarios!$B$2:$B$112,E$1)&gt;0,"✓","VAGO")</f>
        <v>✓</v>
      </c>
      <c r="F16" s="24" t="str">
        <f>IF(COUNTIFS(Mesarios!$A$2:$A$112,$A16,Mesarios!$B$2:$B$112,F$1)&gt;0,"✓","VAGO")</f>
        <v>✓</v>
      </c>
      <c r="G16" s="24">
        <f>COUNTIFS(Mesarios!$A$2:$A$112,$A16,Mesarios!$M$2:$M$112,"SIM")</f>
        <v>3</v>
      </c>
      <c r="H16" s="24">
        <f>COUNTIFS(Mesarios!$A$2:$A$112,$A16,Mesarios!$M$2:$M$112,"NAO")</f>
        <v>1</v>
      </c>
      <c r="I16" s="24">
        <f>COUNTIFS(Mesarios!$A$2:$A$112,$A16,Mesarios!$M$2:$M$112,"0006/2026")+COUNTIFS(Mesarios!$A$2:$A$112,$A16,Mesarios!$M$2:$M$112,"-")</f>
        <v>0</v>
      </c>
      <c r="J16" s="24">
        <f t="shared" si="0"/>
        <v>0</v>
      </c>
      <c r="K16" s="25" t="str">
        <f t="shared" si="1"/>
        <v/>
      </c>
      <c r="L16" s="26">
        <v>519</v>
      </c>
      <c r="M16" s="27">
        <v>781</v>
      </c>
      <c r="N16" s="27">
        <v>498</v>
      </c>
      <c r="O16" s="24" t="str">
        <f t="shared" si="2"/>
        <v>Médio</v>
      </c>
    </row>
    <row r="17" spans="1:15" x14ac:dyDescent="0.25">
      <c r="A17" s="23">
        <v>3302</v>
      </c>
      <c r="B17" s="24">
        <f>COUNTIFS(Mesarios!$A$2:$A$112,$A17)</f>
        <v>4</v>
      </c>
      <c r="C17" s="24" t="str">
        <f>IF(COUNTIFS(Mesarios!$A$2:$A$112,$A17,Mesarios!$B$2:$B$112,C$1)&gt;0,"✓","VAGO")</f>
        <v>✓</v>
      </c>
      <c r="D17" s="24" t="str">
        <f>IF(COUNTIFS(Mesarios!$A$2:$A$112,$A17,Mesarios!$B$2:$B$112,D$1)&gt;0,"✓","VAGO")</f>
        <v>✓</v>
      </c>
      <c r="E17" s="24" t="str">
        <f>IF(COUNTIFS(Mesarios!$A$2:$A$112,$A17,Mesarios!$B$2:$B$112,E$1)&gt;0,"✓","VAGO")</f>
        <v>✓</v>
      </c>
      <c r="F17" s="24" t="str">
        <f>IF(COUNTIFS(Mesarios!$A$2:$A$112,$A17,Mesarios!$B$2:$B$112,F$1)&gt;0,"✓","VAGO")</f>
        <v>✓</v>
      </c>
      <c r="G17" s="24">
        <f>COUNTIFS(Mesarios!$A$2:$A$112,$A17,Mesarios!$M$2:$M$112,"SIM")</f>
        <v>4</v>
      </c>
      <c r="H17" s="24">
        <f>COUNTIFS(Mesarios!$A$2:$A$112,$A17,Mesarios!$M$2:$M$112,"NAO")</f>
        <v>0</v>
      </c>
      <c r="I17" s="24">
        <f>COUNTIFS(Mesarios!$A$2:$A$112,$A17,Mesarios!$M$2:$M$112,"0006/2026")+COUNTIFS(Mesarios!$A$2:$A$112,$A17,Mesarios!$M$2:$M$112,"-")</f>
        <v>0</v>
      </c>
      <c r="J17" s="24">
        <f t="shared" si="0"/>
        <v>0</v>
      </c>
      <c r="K17" s="25" t="str">
        <f t="shared" si="1"/>
        <v/>
      </c>
      <c r="L17" s="26">
        <v>3181</v>
      </c>
      <c r="M17" s="27">
        <v>771</v>
      </c>
      <c r="N17" s="27">
        <v>518</v>
      </c>
      <c r="O17" s="24" t="str">
        <f t="shared" si="2"/>
        <v>Médio</v>
      </c>
    </row>
    <row r="18" spans="1:15" x14ac:dyDescent="0.25">
      <c r="A18" s="23">
        <v>3305</v>
      </c>
      <c r="B18" s="24">
        <f>COUNTIFS(Mesarios!$A$2:$A$112,$A18)</f>
        <v>4</v>
      </c>
      <c r="C18" s="24" t="str">
        <f>IF(COUNTIFS(Mesarios!$A$2:$A$112,$A18,Mesarios!$B$2:$B$112,C$1)&gt;0,"✓","VAGO")</f>
        <v>✓</v>
      </c>
      <c r="D18" s="24" t="str">
        <f>IF(COUNTIFS(Mesarios!$A$2:$A$112,$A18,Mesarios!$B$2:$B$112,D$1)&gt;0,"✓","VAGO")</f>
        <v>✓</v>
      </c>
      <c r="E18" s="24" t="str">
        <f>IF(COUNTIFS(Mesarios!$A$2:$A$112,$A18,Mesarios!$B$2:$B$112,E$1)&gt;0,"✓","VAGO")</f>
        <v>✓</v>
      </c>
      <c r="F18" s="24" t="str">
        <f>IF(COUNTIFS(Mesarios!$A$2:$A$112,$A18,Mesarios!$B$2:$B$112,F$1)&gt;0,"✓","VAGO")</f>
        <v>✓</v>
      </c>
      <c r="G18" s="24">
        <f>COUNTIFS(Mesarios!$A$2:$A$112,$A18,Mesarios!$M$2:$M$112,"SIM")</f>
        <v>3</v>
      </c>
      <c r="H18" s="24">
        <f>COUNTIFS(Mesarios!$A$2:$A$112,$A18,Mesarios!$M$2:$M$112,"NAO")</f>
        <v>1</v>
      </c>
      <c r="I18" s="24">
        <f>COUNTIFS(Mesarios!$A$2:$A$112,$A18,Mesarios!$M$2:$M$112,"0006/2026")+COUNTIFS(Mesarios!$A$2:$A$112,$A18,Mesarios!$M$2:$M$112,"-")</f>
        <v>0</v>
      </c>
      <c r="J18" s="24">
        <f t="shared" si="0"/>
        <v>0</v>
      </c>
      <c r="K18" s="25" t="str">
        <f t="shared" si="1"/>
        <v/>
      </c>
      <c r="L18" s="26">
        <v>521</v>
      </c>
      <c r="M18" s="27">
        <v>767</v>
      </c>
      <c r="N18" s="27">
        <v>472</v>
      </c>
      <c r="O18" s="24" t="str">
        <f t="shared" si="2"/>
        <v>Médio</v>
      </c>
    </row>
    <row r="19" spans="1:15" x14ac:dyDescent="0.25">
      <c r="A19" s="23">
        <v>3306</v>
      </c>
      <c r="B19" s="24">
        <f>COUNTIFS(Mesarios!$A$2:$A$112,$A19)</f>
        <v>4</v>
      </c>
      <c r="C19" s="24" t="str">
        <f>IF(COUNTIFS(Mesarios!$A$2:$A$112,$A19,Mesarios!$B$2:$B$112,C$1)&gt;0,"✓","VAGO")</f>
        <v>✓</v>
      </c>
      <c r="D19" s="24" t="str">
        <f>IF(COUNTIFS(Mesarios!$A$2:$A$112,$A19,Mesarios!$B$2:$B$112,D$1)&gt;0,"✓","VAGO")</f>
        <v>✓</v>
      </c>
      <c r="E19" s="24" t="str">
        <f>IF(COUNTIFS(Mesarios!$A$2:$A$112,$A19,Mesarios!$B$2:$B$112,E$1)&gt;0,"✓","VAGO")</f>
        <v>✓</v>
      </c>
      <c r="F19" s="24" t="str">
        <f>IF(COUNTIFS(Mesarios!$A$2:$A$112,$A19,Mesarios!$B$2:$B$112,F$1)&gt;0,"✓","VAGO")</f>
        <v>✓</v>
      </c>
      <c r="G19" s="24">
        <f>COUNTIFS(Mesarios!$A$2:$A$112,$A19,Mesarios!$M$2:$M$112,"SIM")</f>
        <v>4</v>
      </c>
      <c r="H19" s="24">
        <f>COUNTIFS(Mesarios!$A$2:$A$112,$A19,Mesarios!$M$2:$M$112,"NAO")</f>
        <v>0</v>
      </c>
      <c r="I19" s="24">
        <f>COUNTIFS(Mesarios!$A$2:$A$112,$A19,Mesarios!$M$2:$M$112,"0006/2026")+COUNTIFS(Mesarios!$A$2:$A$112,$A19,Mesarios!$M$2:$M$112,"-")</f>
        <v>0</v>
      </c>
      <c r="J19" s="24">
        <f t="shared" si="0"/>
        <v>0</v>
      </c>
      <c r="K19" s="25" t="str">
        <f t="shared" si="1"/>
        <v/>
      </c>
      <c r="L19" s="26">
        <v>518</v>
      </c>
      <c r="M19" s="27">
        <v>766</v>
      </c>
      <c r="N19" s="27">
        <v>515</v>
      </c>
      <c r="O19" s="24" t="str">
        <f t="shared" si="2"/>
        <v>Médio</v>
      </c>
    </row>
    <row r="20" spans="1:15" x14ac:dyDescent="0.25">
      <c r="A20" s="23">
        <v>3308</v>
      </c>
      <c r="B20" s="24">
        <f>COUNTIFS(Mesarios!$A$2:$A$112,$A20)</f>
        <v>4</v>
      </c>
      <c r="C20" s="24" t="str">
        <f>IF(COUNTIFS(Mesarios!$A$2:$A$112,$A20,Mesarios!$B$2:$B$112,C$1)&gt;0,"✓","VAGO")</f>
        <v>✓</v>
      </c>
      <c r="D20" s="24" t="str">
        <f>IF(COUNTIFS(Mesarios!$A$2:$A$112,$A20,Mesarios!$B$2:$B$112,D$1)&gt;0,"✓","VAGO")</f>
        <v>✓</v>
      </c>
      <c r="E20" s="24" t="str">
        <f>IF(COUNTIFS(Mesarios!$A$2:$A$112,$A20,Mesarios!$B$2:$B$112,E$1)&gt;0,"✓","VAGO")</f>
        <v>✓</v>
      </c>
      <c r="F20" s="24" t="str">
        <f>IF(COUNTIFS(Mesarios!$A$2:$A$112,$A20,Mesarios!$B$2:$B$112,F$1)&gt;0,"✓","VAGO")</f>
        <v>✓</v>
      </c>
      <c r="G20" s="24">
        <f>COUNTIFS(Mesarios!$A$2:$A$112,$A20,Mesarios!$M$2:$M$112,"SIM")</f>
        <v>3</v>
      </c>
      <c r="H20" s="24">
        <f>COUNTIFS(Mesarios!$A$2:$A$112,$A20,Mesarios!$M$2:$M$112,"NAO")</f>
        <v>1</v>
      </c>
      <c r="I20" s="24">
        <f>COUNTIFS(Mesarios!$A$2:$A$112,$A20,Mesarios!$M$2:$M$112,"0006/2026")+COUNTIFS(Mesarios!$A$2:$A$112,$A20,Mesarios!$M$2:$M$112,"-")</f>
        <v>0</v>
      </c>
      <c r="J20" s="24">
        <f t="shared" si="0"/>
        <v>0</v>
      </c>
      <c r="K20" s="25" t="str">
        <f t="shared" si="1"/>
        <v/>
      </c>
      <c r="L20" s="26"/>
      <c r="M20" s="27">
        <v>399</v>
      </c>
      <c r="N20" s="27">
        <v>295</v>
      </c>
      <c r="O20" s="24" t="str">
        <f t="shared" si="2"/>
        <v>Baixo</v>
      </c>
    </row>
    <row r="21" spans="1:15" x14ac:dyDescent="0.25">
      <c r="A21" s="23">
        <v>3309</v>
      </c>
      <c r="B21" s="24">
        <f>COUNTIFS(Mesarios!$A$2:$A$112,$A21)</f>
        <v>4</v>
      </c>
      <c r="C21" s="24" t="str">
        <f>IF(COUNTIFS(Mesarios!$A$2:$A$112,$A21,Mesarios!$B$2:$B$112,C$1)&gt;0,"✓","VAGO")</f>
        <v>✓</v>
      </c>
      <c r="D21" s="24" t="str">
        <f>IF(COUNTIFS(Mesarios!$A$2:$A$112,$A21,Mesarios!$B$2:$B$112,D$1)&gt;0,"✓","VAGO")</f>
        <v>✓</v>
      </c>
      <c r="E21" s="24" t="str">
        <f>IF(COUNTIFS(Mesarios!$A$2:$A$112,$A21,Mesarios!$B$2:$B$112,E$1)&gt;0,"✓","VAGO")</f>
        <v>✓</v>
      </c>
      <c r="F21" s="24" t="str">
        <f>IF(COUNTIFS(Mesarios!$A$2:$A$112,$A21,Mesarios!$B$2:$B$112,F$1)&gt;0,"✓","VAGO")</f>
        <v>✓</v>
      </c>
      <c r="G21" s="24">
        <f>COUNTIFS(Mesarios!$A$2:$A$112,$A21,Mesarios!$M$2:$M$112,"SIM")</f>
        <v>4</v>
      </c>
      <c r="H21" s="24">
        <f>COUNTIFS(Mesarios!$A$2:$A$112,$A21,Mesarios!$M$2:$M$112,"NAO")</f>
        <v>0</v>
      </c>
      <c r="I21" s="24">
        <f>COUNTIFS(Mesarios!$A$2:$A$112,$A21,Mesarios!$M$2:$M$112,"0006/2026")+COUNTIFS(Mesarios!$A$2:$A$112,$A21,Mesarios!$M$2:$M$112,"-")</f>
        <v>0</v>
      </c>
      <c r="J21" s="24">
        <f t="shared" si="0"/>
        <v>0</v>
      </c>
      <c r="K21" s="25" t="str">
        <f t="shared" si="1"/>
        <v/>
      </c>
      <c r="L21" s="26">
        <v>1314</v>
      </c>
      <c r="M21" s="27">
        <v>615</v>
      </c>
      <c r="N21" s="27">
        <v>395</v>
      </c>
      <c r="O21" s="24" t="str">
        <f t="shared" si="2"/>
        <v>Baixo</v>
      </c>
    </row>
    <row r="22" spans="1:15" x14ac:dyDescent="0.25">
      <c r="A22" s="23">
        <v>3311</v>
      </c>
      <c r="B22" s="24">
        <f>COUNTIFS(Mesarios!$A$2:$A$112,$A22)</f>
        <v>4</v>
      </c>
      <c r="C22" s="24" t="str">
        <f>IF(COUNTIFS(Mesarios!$A$2:$A$112,$A22,Mesarios!$B$2:$B$112,C$1)&gt;0,"✓","VAGO")</f>
        <v>✓</v>
      </c>
      <c r="D22" s="24" t="str">
        <f>IF(COUNTIFS(Mesarios!$A$2:$A$112,$A22,Mesarios!$B$2:$B$112,D$1)&gt;0,"✓","VAGO")</f>
        <v>✓</v>
      </c>
      <c r="E22" s="24" t="str">
        <f>IF(COUNTIFS(Mesarios!$A$2:$A$112,$A22,Mesarios!$B$2:$B$112,E$1)&gt;0,"✓","VAGO")</f>
        <v>✓</v>
      </c>
      <c r="F22" s="24" t="str">
        <f>IF(COUNTIFS(Mesarios!$A$2:$A$112,$A22,Mesarios!$B$2:$B$112,F$1)&gt;0,"✓","VAGO")</f>
        <v>✓</v>
      </c>
      <c r="G22" s="24">
        <f>COUNTIFS(Mesarios!$A$2:$A$112,$A22,Mesarios!$M$2:$M$112,"SIM")</f>
        <v>4</v>
      </c>
      <c r="H22" s="24">
        <f>COUNTIFS(Mesarios!$A$2:$A$112,$A22,Mesarios!$M$2:$M$112,"NAO")</f>
        <v>0</v>
      </c>
      <c r="I22" s="24">
        <f>COUNTIFS(Mesarios!$A$2:$A$112,$A22,Mesarios!$M$2:$M$112,"0006/2026")+COUNTIFS(Mesarios!$A$2:$A$112,$A22,Mesarios!$M$2:$M$112,"-")</f>
        <v>0</v>
      </c>
      <c r="J22" s="24">
        <f t="shared" si="0"/>
        <v>0</v>
      </c>
      <c r="K22" s="25" t="str">
        <f t="shared" si="1"/>
        <v/>
      </c>
      <c r="L22" s="26">
        <v>3913</v>
      </c>
      <c r="M22" s="27">
        <v>630</v>
      </c>
      <c r="N22" s="27">
        <v>466</v>
      </c>
      <c r="O22" s="24" t="str">
        <f t="shared" si="2"/>
        <v>Médio</v>
      </c>
    </row>
    <row r="23" spans="1:15" x14ac:dyDescent="0.25">
      <c r="A23" s="23">
        <v>3313</v>
      </c>
      <c r="B23" s="24">
        <f>COUNTIFS(Mesarios!$A$2:$A$112,$A23)</f>
        <v>4</v>
      </c>
      <c r="C23" s="24" t="str">
        <f>IF(COUNTIFS(Mesarios!$A$2:$A$112,$A23,Mesarios!$B$2:$B$112,C$1)&gt;0,"✓","VAGO")</f>
        <v>✓</v>
      </c>
      <c r="D23" s="24" t="str">
        <f>IF(COUNTIFS(Mesarios!$A$2:$A$112,$A23,Mesarios!$B$2:$B$112,D$1)&gt;0,"✓","VAGO")</f>
        <v>✓</v>
      </c>
      <c r="E23" s="24" t="str">
        <f>IF(COUNTIFS(Mesarios!$A$2:$A$112,$A23,Mesarios!$B$2:$B$112,E$1)&gt;0,"✓","VAGO")</f>
        <v>✓</v>
      </c>
      <c r="F23" s="24" t="str">
        <f>IF(COUNTIFS(Mesarios!$A$2:$A$112,$A23,Mesarios!$B$2:$B$112,F$1)&gt;0,"✓","VAGO")</f>
        <v>✓</v>
      </c>
      <c r="G23" s="24">
        <f>COUNTIFS(Mesarios!$A$2:$A$112,$A23,Mesarios!$M$2:$M$112,"SIM")</f>
        <v>4</v>
      </c>
      <c r="H23" s="24">
        <f>COUNTIFS(Mesarios!$A$2:$A$112,$A23,Mesarios!$M$2:$M$112,"NAO")</f>
        <v>0</v>
      </c>
      <c r="I23" s="24">
        <f>COUNTIFS(Mesarios!$A$2:$A$112,$A23,Mesarios!$M$2:$M$112,"0006/2026")+COUNTIFS(Mesarios!$A$2:$A$112,$A23,Mesarios!$M$2:$M$112,"-")</f>
        <v>0</v>
      </c>
      <c r="J23" s="24">
        <f t="shared" si="0"/>
        <v>0</v>
      </c>
      <c r="K23" s="25" t="str">
        <f t="shared" si="1"/>
        <v/>
      </c>
      <c r="L23" s="26">
        <v>3889</v>
      </c>
      <c r="M23" s="27">
        <v>797</v>
      </c>
      <c r="N23" s="27">
        <v>590</v>
      </c>
      <c r="O23" s="24" t="str">
        <f t="shared" si="2"/>
        <v>Alto</v>
      </c>
    </row>
    <row r="24" spans="1:15" x14ac:dyDescent="0.25">
      <c r="A24" s="23">
        <v>3315</v>
      </c>
      <c r="B24" s="24">
        <f>COUNTIFS(Mesarios!$A$2:$A$112,$A24)</f>
        <v>4</v>
      </c>
      <c r="C24" s="24" t="str">
        <f>IF(COUNTIFS(Mesarios!$A$2:$A$112,$A24,Mesarios!$B$2:$B$112,C$1)&gt;0,"✓","VAGO")</f>
        <v>✓</v>
      </c>
      <c r="D24" s="24" t="str">
        <f>IF(COUNTIFS(Mesarios!$A$2:$A$112,$A24,Mesarios!$B$2:$B$112,D$1)&gt;0,"✓","VAGO")</f>
        <v>✓</v>
      </c>
      <c r="E24" s="24" t="str">
        <f>IF(COUNTIFS(Mesarios!$A$2:$A$112,$A24,Mesarios!$B$2:$B$112,E$1)&gt;0,"✓","VAGO")</f>
        <v>✓</v>
      </c>
      <c r="F24" s="24" t="str">
        <f>IF(COUNTIFS(Mesarios!$A$2:$A$112,$A24,Mesarios!$B$2:$B$112,F$1)&gt;0,"✓","VAGO")</f>
        <v>✓</v>
      </c>
      <c r="G24" s="24">
        <f>COUNTIFS(Mesarios!$A$2:$A$112,$A24,Mesarios!$M$2:$M$112,"SIM")</f>
        <v>2</v>
      </c>
      <c r="H24" s="24">
        <f>COUNTIFS(Mesarios!$A$2:$A$112,$A24,Mesarios!$M$2:$M$112,"NAO")</f>
        <v>2</v>
      </c>
      <c r="I24" s="24">
        <f>COUNTIFS(Mesarios!$A$2:$A$112,$A24,Mesarios!$M$2:$M$112,"0006/2026")+COUNTIFS(Mesarios!$A$2:$A$112,$A24,Mesarios!$M$2:$M$112,"-")</f>
        <v>0</v>
      </c>
      <c r="J24" s="24">
        <f t="shared" si="0"/>
        <v>0</v>
      </c>
      <c r="K24" s="25" t="str">
        <f t="shared" si="1"/>
        <v>Só 2 presentes</v>
      </c>
      <c r="L24" s="26">
        <v>3778</v>
      </c>
      <c r="M24" s="27">
        <v>792</v>
      </c>
      <c r="N24" s="27">
        <v>586</v>
      </c>
      <c r="O24" s="24" t="str">
        <f t="shared" si="2"/>
        <v>Alto</v>
      </c>
    </row>
    <row r="25" spans="1:15" x14ac:dyDescent="0.25">
      <c r="A25" s="23">
        <v>3322</v>
      </c>
      <c r="B25" s="24">
        <f>COUNTIFS(Mesarios!$A$2:$A$112,$A25)</f>
        <v>4</v>
      </c>
      <c r="C25" s="24" t="str">
        <f>IF(COUNTIFS(Mesarios!$A$2:$A$112,$A25,Mesarios!$B$2:$B$112,C$1)&gt;0,"✓","VAGO")</f>
        <v>✓</v>
      </c>
      <c r="D25" s="24" t="str">
        <f>IF(COUNTIFS(Mesarios!$A$2:$A$112,$A25,Mesarios!$B$2:$B$112,D$1)&gt;0,"✓","VAGO")</f>
        <v>✓</v>
      </c>
      <c r="E25" s="24" t="str">
        <f>IF(COUNTIFS(Mesarios!$A$2:$A$112,$A25,Mesarios!$B$2:$B$112,E$1)&gt;0,"✓","VAGO")</f>
        <v>✓</v>
      </c>
      <c r="F25" s="24" t="str">
        <f>IF(COUNTIFS(Mesarios!$A$2:$A$112,$A25,Mesarios!$B$2:$B$112,F$1)&gt;0,"✓","VAGO")</f>
        <v>✓</v>
      </c>
      <c r="G25" s="24">
        <f>COUNTIFS(Mesarios!$A$2:$A$112,$A25,Mesarios!$M$2:$M$112,"SIM")</f>
        <v>3</v>
      </c>
      <c r="H25" s="24">
        <f>COUNTIFS(Mesarios!$A$2:$A$112,$A25,Mesarios!$M$2:$M$112,"NAO")</f>
        <v>1</v>
      </c>
      <c r="I25" s="24">
        <f>COUNTIFS(Mesarios!$A$2:$A$112,$A25,Mesarios!$M$2:$M$112,"0006/2026")+COUNTIFS(Mesarios!$A$2:$A$112,$A25,Mesarios!$M$2:$M$112,"-")</f>
        <v>0</v>
      </c>
      <c r="J25" s="24">
        <f t="shared" si="0"/>
        <v>0</v>
      </c>
      <c r="K25" s="25" t="str">
        <f t="shared" si="1"/>
        <v/>
      </c>
      <c r="L25" s="26">
        <v>3752</v>
      </c>
      <c r="M25" s="27">
        <v>794</v>
      </c>
      <c r="N25" s="27">
        <v>588</v>
      </c>
      <c r="O25" s="24" t="str">
        <f t="shared" si="2"/>
        <v>Alto</v>
      </c>
    </row>
    <row r="26" spans="1:15" x14ac:dyDescent="0.25">
      <c r="A26" s="23">
        <v>3442</v>
      </c>
      <c r="B26" s="24">
        <f>COUNTIFS(Mesarios!$A$2:$A$112,$A26)</f>
        <v>4</v>
      </c>
      <c r="C26" s="24" t="str">
        <f>IF(COUNTIFS(Mesarios!$A$2:$A$112,$A26,Mesarios!$B$2:$B$112,C$1)&gt;0,"✓","VAGO")</f>
        <v>✓</v>
      </c>
      <c r="D26" s="24" t="str">
        <f>IF(COUNTIFS(Mesarios!$A$2:$A$112,$A26,Mesarios!$B$2:$B$112,D$1)&gt;0,"✓","VAGO")</f>
        <v>✓</v>
      </c>
      <c r="E26" s="24" t="str">
        <f>IF(COUNTIFS(Mesarios!$A$2:$A$112,$A26,Mesarios!$B$2:$B$112,E$1)&gt;0,"✓","VAGO")</f>
        <v>✓</v>
      </c>
      <c r="F26" s="24" t="str">
        <f>IF(COUNTIFS(Mesarios!$A$2:$A$112,$A26,Mesarios!$B$2:$B$112,F$1)&gt;0,"✓","VAGO")</f>
        <v>✓</v>
      </c>
      <c r="G26" s="24">
        <f>COUNTIFS(Mesarios!$A$2:$A$112,$A26,Mesarios!$M$2:$M$112,"SIM")</f>
        <v>2</v>
      </c>
      <c r="H26" s="24">
        <f>COUNTIFS(Mesarios!$A$2:$A$112,$A26,Mesarios!$M$2:$M$112,"NAO")</f>
        <v>2</v>
      </c>
      <c r="I26" s="24">
        <f>COUNTIFS(Mesarios!$A$2:$A$112,$A26,Mesarios!$M$2:$M$112,"0006/2026")+COUNTIFS(Mesarios!$A$2:$A$112,$A26,Mesarios!$M$2:$M$112,"-")</f>
        <v>0</v>
      </c>
      <c r="J26" s="24">
        <f t="shared" si="0"/>
        <v>0</v>
      </c>
      <c r="K26" s="25" t="str">
        <f t="shared" si="1"/>
        <v>Só 2 presentes</v>
      </c>
      <c r="L26" s="26"/>
      <c r="M26" s="27">
        <v>398</v>
      </c>
      <c r="N26" s="27">
        <v>295</v>
      </c>
      <c r="O26" s="24" t="str">
        <f t="shared" si="2"/>
        <v>Baixo</v>
      </c>
    </row>
    <row r="27" spans="1:15" x14ac:dyDescent="0.25">
      <c r="A27" s="23">
        <v>3688</v>
      </c>
      <c r="B27" s="24">
        <f>COUNTIFS(Mesarios!$A$2:$A$112,$A27)</f>
        <v>4</v>
      </c>
      <c r="C27" s="24" t="str">
        <f>IF(COUNTIFS(Mesarios!$A$2:$A$112,$A27,Mesarios!$B$2:$B$112,C$1)&gt;0,"✓","VAGO")</f>
        <v>✓</v>
      </c>
      <c r="D27" s="24" t="str">
        <f>IF(COUNTIFS(Mesarios!$A$2:$A$112,$A27,Mesarios!$B$2:$B$112,D$1)&gt;0,"✓","VAGO")</f>
        <v>✓</v>
      </c>
      <c r="E27" s="24" t="str">
        <f>IF(COUNTIFS(Mesarios!$A$2:$A$112,$A27,Mesarios!$B$2:$B$112,E$1)&gt;0,"✓","VAGO")</f>
        <v>✓</v>
      </c>
      <c r="F27" s="24" t="str">
        <f>IF(COUNTIFS(Mesarios!$A$2:$A$112,$A27,Mesarios!$B$2:$B$112,F$1)&gt;0,"✓","VAGO")</f>
        <v>✓</v>
      </c>
      <c r="G27" s="24">
        <f>COUNTIFS(Mesarios!$A$2:$A$112,$A27,Mesarios!$M$2:$M$112,"SIM")</f>
        <v>3</v>
      </c>
      <c r="H27" s="24">
        <f>COUNTIFS(Mesarios!$A$2:$A$112,$A27,Mesarios!$M$2:$M$112,"NAO")</f>
        <v>1</v>
      </c>
      <c r="I27" s="24">
        <f>COUNTIFS(Mesarios!$A$2:$A$112,$A27,Mesarios!$M$2:$M$112,"0006/2026")+COUNTIFS(Mesarios!$A$2:$A$112,$A27,Mesarios!$M$2:$M$112,"-")</f>
        <v>0</v>
      </c>
      <c r="J27" s="24">
        <f t="shared" si="0"/>
        <v>0</v>
      </c>
      <c r="K27" s="25" t="str">
        <f t="shared" si="1"/>
        <v/>
      </c>
      <c r="L27" s="26"/>
      <c r="M27" s="27">
        <v>400</v>
      </c>
      <c r="N27" s="27">
        <v>296</v>
      </c>
      <c r="O27" s="24" t="str">
        <f t="shared" si="2"/>
        <v>Baixo</v>
      </c>
    </row>
    <row r="28" spans="1:15" x14ac:dyDescent="0.25">
      <c r="A28" s="23">
        <v>3832</v>
      </c>
      <c r="B28" s="24">
        <f>COUNTIFS(Mesarios!$A$2:$A$112,$A28)</f>
        <v>4</v>
      </c>
      <c r="C28" s="24" t="str">
        <f>IF(COUNTIFS(Mesarios!$A$2:$A$112,$A28,Mesarios!$B$2:$B$112,C$1)&gt;0,"✓","VAGO")</f>
        <v>✓</v>
      </c>
      <c r="D28" s="24" t="str">
        <f>IF(COUNTIFS(Mesarios!$A$2:$A$112,$A28,Mesarios!$B$2:$B$112,D$1)&gt;0,"✓","VAGO")</f>
        <v>✓</v>
      </c>
      <c r="E28" s="24" t="str">
        <f>IF(COUNTIFS(Mesarios!$A$2:$A$112,$A28,Mesarios!$B$2:$B$112,E$1)&gt;0,"✓","VAGO")</f>
        <v>✓</v>
      </c>
      <c r="F28" s="24" t="str">
        <f>IF(COUNTIFS(Mesarios!$A$2:$A$112,$A28,Mesarios!$B$2:$B$112,F$1)&gt;0,"✓","VAGO")</f>
        <v>✓</v>
      </c>
      <c r="G28" s="24">
        <f>COUNTIFS(Mesarios!$A$2:$A$112,$A28,Mesarios!$M$2:$M$112,"SIM")</f>
        <v>4</v>
      </c>
      <c r="H28" s="24">
        <f>COUNTIFS(Mesarios!$A$2:$A$112,$A28,Mesarios!$M$2:$M$112,"NAO")</f>
        <v>0</v>
      </c>
      <c r="I28" s="24">
        <f>COUNTIFS(Mesarios!$A$2:$A$112,$A28,Mesarios!$M$2:$M$112,"0006/2026")+COUNTIFS(Mesarios!$A$2:$A$112,$A28,Mesarios!$M$2:$M$112,"-")</f>
        <v>0</v>
      </c>
      <c r="J28" s="24">
        <f t="shared" si="0"/>
        <v>0</v>
      </c>
      <c r="K28" s="25" t="str">
        <f t="shared" si="1"/>
        <v/>
      </c>
      <c r="L28" s="26"/>
      <c r="M28" s="27">
        <v>400</v>
      </c>
      <c r="N28" s="27">
        <v>296</v>
      </c>
      <c r="O28" s="24" t="str">
        <f t="shared" si="2"/>
        <v>Baixo</v>
      </c>
    </row>
    <row r="29" spans="1:15" ht="15.75" customHeight="1" x14ac:dyDescent="0.25">
      <c r="A29" s="23">
        <v>3862</v>
      </c>
      <c r="B29" s="24">
        <f>COUNTIFS(Mesarios!$A$2:$A$112,$A29)</f>
        <v>3</v>
      </c>
      <c r="C29" s="24" t="str">
        <f>IF(COUNTIFS(Mesarios!$A$2:$A$112,$A29,Mesarios!$B$2:$B$112,C$1)&gt;0,"✓","VAGO")</f>
        <v>✓</v>
      </c>
      <c r="D29" s="24" t="str">
        <f>IF(COUNTIFS(Mesarios!$A$2:$A$112,$A29,Mesarios!$B$2:$B$112,D$1)&gt;0,"✓","VAGO")</f>
        <v>✓</v>
      </c>
      <c r="E29" s="24" t="str">
        <f>IF(COUNTIFS(Mesarios!$A$2:$A$112,$A29,Mesarios!$B$2:$B$112,E$1)&gt;0,"✓","VAGO")</f>
        <v>VAGO</v>
      </c>
      <c r="F29" s="24" t="str">
        <f>IF(COUNTIFS(Mesarios!$A$2:$A$112,$A29,Mesarios!$B$2:$B$112,F$1)&gt;0,"✓","VAGO")</f>
        <v>✓</v>
      </c>
      <c r="G29" s="24">
        <f>COUNTIFS(Mesarios!$A$2:$A$112,$A29,Mesarios!$M$2:$M$112,"SIM")</f>
        <v>3</v>
      </c>
      <c r="H29" s="24">
        <f>COUNTIFS(Mesarios!$A$2:$A$112,$A29,Mesarios!$M$2:$M$112,"NAO")</f>
        <v>0</v>
      </c>
      <c r="I29" s="24">
        <f>COUNTIFS(Mesarios!$A$2:$A$112,$A29,Mesarios!$M$2:$M$112,"0006/2026")+COUNTIFS(Mesarios!$A$2:$A$112,$A29,Mesarios!$M$2:$M$112,"-")</f>
        <v>0</v>
      </c>
      <c r="J29" s="24">
        <f t="shared" si="0"/>
        <v>1</v>
      </c>
      <c r="K29" s="25" t="str">
        <f t="shared" si="1"/>
        <v>Mesa com 3 designados</v>
      </c>
      <c r="L29" s="26"/>
      <c r="M29" s="27">
        <v>400</v>
      </c>
      <c r="N29" s="27">
        <v>296</v>
      </c>
      <c r="O29" s="24" t="str">
        <f t="shared" si="2"/>
        <v>Baixo</v>
      </c>
    </row>
    <row r="30" spans="1:15" x14ac:dyDescent="0.25">
      <c r="A30" s="28" t="s">
        <v>405</v>
      </c>
      <c r="B30" s="28">
        <f>SUM(B2:B29)</f>
        <v>111</v>
      </c>
      <c r="C30" s="28">
        <f>COUNTIF(C2:C29,"VAGO")</f>
        <v>0</v>
      </c>
      <c r="D30" s="28">
        <f>COUNTIF(D2:D29,"VAGO")</f>
        <v>0</v>
      </c>
      <c r="E30" s="28">
        <f>COUNTIF(E2:E29,"VAGO")</f>
        <v>1</v>
      </c>
      <c r="F30" s="28">
        <f>COUNTIF(F2:F29,"VAGO")</f>
        <v>0</v>
      </c>
      <c r="G30" s="28">
        <f>SUM(G2:G29)</f>
        <v>92</v>
      </c>
      <c r="H30" s="28">
        <f>SUM(H2:H29)</f>
        <v>19</v>
      </c>
      <c r="I30" s="28">
        <f>SUM(I2:I29)</f>
        <v>0</v>
      </c>
      <c r="J30" s="28">
        <f>SUM(J2:J29)</f>
        <v>1</v>
      </c>
      <c r="K30" s="29"/>
      <c r="M30" s="30">
        <f>SUM(M2:M29)</f>
        <v>16794</v>
      </c>
      <c r="N30" s="30">
        <f>SUM(N2:N29)</f>
        <v>11499</v>
      </c>
      <c r="O30" s="28" t="str">
        <f>COUNTIF(O2:O29,"Alto")&amp;" A · "&amp;COUNTIF(O2:O29,"Médio")&amp;" M · "&amp;COUNTIF(O2:O29,"Baixo")&amp;" B"</f>
        <v>3 A · 8 M · 17 B</v>
      </c>
    </row>
    <row r="32" spans="1:15" x14ac:dyDescent="0.25">
      <c r="A32" s="31" t="s">
        <v>412</v>
      </c>
    </row>
    <row r="33" spans="1:14" x14ac:dyDescent="0.25">
      <c r="A33" s="32" t="s">
        <v>413</v>
      </c>
    </row>
    <row r="34" spans="1:14" x14ac:dyDescent="0.25">
      <c r="A34" s="32" t="s">
        <v>414</v>
      </c>
      <c r="M34" s="33" t="s">
        <v>415</v>
      </c>
      <c r="N34" s="34">
        <f>LARGE(N2:N29,3)</f>
        <v>586</v>
      </c>
    </row>
    <row r="35" spans="1:14" x14ac:dyDescent="0.25">
      <c r="M35" s="33" t="s">
        <v>416</v>
      </c>
      <c r="N35" s="35">
        <v>450</v>
      </c>
    </row>
  </sheetData>
  <conditionalFormatting sqref="A2:A29">
    <cfRule type="expression" dxfId="9" priority="2">
      <formula>$O2="Alto"</formula>
    </cfRule>
    <cfRule type="expression" dxfId="8" priority="3">
      <formula>$O2="Médio"</formula>
    </cfRule>
    <cfRule type="expression" dxfId="7" priority="4">
      <formula>$O2="Baixo"</formula>
    </cfRule>
  </conditionalFormatting>
  <conditionalFormatting sqref="A2:K29">
    <cfRule type="expression" dxfId="6" priority="8">
      <formula>$B2&lt;4</formula>
    </cfRule>
  </conditionalFormatting>
  <conditionalFormatting sqref="C2:F29">
    <cfRule type="expression" dxfId="5" priority="9">
      <formula>C2="VAGO"</formula>
    </cfRule>
  </conditionalFormatting>
  <conditionalFormatting sqref="G2:G29">
    <cfRule type="expression" dxfId="4" priority="10">
      <formula>G2&lt;3</formula>
    </cfRule>
  </conditionalFormatting>
  <conditionalFormatting sqref="H2:I29">
    <cfRule type="expression" dxfId="3" priority="11">
      <formula>H2&gt;0</formula>
    </cfRule>
  </conditionalFormatting>
  <conditionalFormatting sqref="N2:O29">
    <cfRule type="expression" dxfId="2" priority="5">
      <formula>$O2="Alto"</formula>
    </cfRule>
    <cfRule type="expression" dxfId="1" priority="6">
      <formula>$O2="Médio"</formula>
    </cfRule>
    <cfRule type="expression" dxfId="0" priority="7">
      <formula>$O2="Baixo"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9" customWidth="1"/>
    <col min="2" max="2" width="13" customWidth="1"/>
    <col min="3" max="4" width="14" customWidth="1"/>
    <col min="5" max="5" width="18" customWidth="1"/>
    <col min="6" max="7" width="12" customWidth="1"/>
    <col min="8" max="8" width="10" customWidth="1"/>
    <col min="9" max="9" width="80" customWidth="1"/>
  </cols>
  <sheetData>
    <row r="1" spans="1:9" ht="48" customHeight="1" x14ac:dyDescent="0.25">
      <c r="A1" s="8" t="s">
        <v>19</v>
      </c>
      <c r="B1" s="8" t="s">
        <v>417</v>
      </c>
      <c r="C1" s="8" t="s">
        <v>418</v>
      </c>
      <c r="D1" s="8" t="s">
        <v>419</v>
      </c>
      <c r="E1" s="8" t="s">
        <v>420</v>
      </c>
      <c r="F1" s="8" t="s">
        <v>421</v>
      </c>
      <c r="G1" s="8" t="s">
        <v>422</v>
      </c>
      <c r="H1" s="8" t="s">
        <v>423</v>
      </c>
      <c r="I1" s="8" t="s">
        <v>17</v>
      </c>
    </row>
    <row r="2" spans="1:9" x14ac:dyDescent="0.25">
      <c r="A2" s="2">
        <v>511</v>
      </c>
      <c r="B2" s="2">
        <v>4</v>
      </c>
      <c r="C2" s="2">
        <v>4</v>
      </c>
      <c r="D2" s="2">
        <v>3</v>
      </c>
      <c r="E2" s="2">
        <v>4</v>
      </c>
      <c r="F2" s="2">
        <v>0</v>
      </c>
      <c r="G2" s="2">
        <v>0</v>
      </c>
      <c r="H2" s="2">
        <v>0</v>
      </c>
      <c r="I2" s="36" t="s">
        <v>424</v>
      </c>
    </row>
    <row r="3" spans="1:9" ht="28.5" x14ac:dyDescent="0.25">
      <c r="A3" s="2">
        <v>512</v>
      </c>
      <c r="B3" s="2">
        <v>4</v>
      </c>
      <c r="C3" s="2">
        <v>3</v>
      </c>
      <c r="D3" s="2">
        <v>3</v>
      </c>
      <c r="E3" s="2">
        <v>3</v>
      </c>
      <c r="F3" s="2">
        <v>2</v>
      </c>
      <c r="G3" s="2">
        <v>1</v>
      </c>
      <c r="H3" s="2">
        <v>0</v>
      </c>
      <c r="I3" s="36" t="s">
        <v>425</v>
      </c>
    </row>
    <row r="4" spans="1:9" x14ac:dyDescent="0.25">
      <c r="A4" s="2">
        <v>513</v>
      </c>
      <c r="B4" s="2">
        <v>4</v>
      </c>
      <c r="C4" s="2">
        <v>2</v>
      </c>
      <c r="D4" s="2">
        <v>2</v>
      </c>
      <c r="E4" s="2">
        <v>2</v>
      </c>
      <c r="F4" s="2">
        <v>2</v>
      </c>
      <c r="G4" s="2">
        <v>0</v>
      </c>
      <c r="H4" s="2">
        <v>0</v>
      </c>
      <c r="I4" s="36" t="s">
        <v>426</v>
      </c>
    </row>
    <row r="5" spans="1:9" x14ac:dyDescent="0.25">
      <c r="A5" s="2">
        <v>517</v>
      </c>
      <c r="B5" s="2">
        <v>4</v>
      </c>
      <c r="C5" s="2">
        <v>4</v>
      </c>
      <c r="D5" s="2">
        <v>3</v>
      </c>
      <c r="E5" s="2">
        <v>4</v>
      </c>
      <c r="F5" s="2">
        <v>0</v>
      </c>
      <c r="G5" s="2">
        <v>0</v>
      </c>
      <c r="H5" s="2">
        <v>0</v>
      </c>
      <c r="I5" s="36" t="s">
        <v>427</v>
      </c>
    </row>
    <row r="6" spans="1:9" x14ac:dyDescent="0.25">
      <c r="A6" s="2">
        <v>1160</v>
      </c>
      <c r="B6" s="2">
        <v>4</v>
      </c>
      <c r="C6" s="2">
        <v>4</v>
      </c>
      <c r="D6" s="2">
        <v>4</v>
      </c>
      <c r="E6" s="2">
        <v>4</v>
      </c>
      <c r="F6" s="2">
        <v>0</v>
      </c>
      <c r="G6" s="2">
        <v>0</v>
      </c>
      <c r="H6" s="2">
        <v>0</v>
      </c>
      <c r="I6" s="36" t="s">
        <v>428</v>
      </c>
    </row>
    <row r="7" spans="1:9" x14ac:dyDescent="0.25">
      <c r="A7" s="2">
        <v>1352</v>
      </c>
      <c r="B7" s="2">
        <v>4</v>
      </c>
      <c r="C7" s="2">
        <v>4</v>
      </c>
      <c r="D7" s="2">
        <v>3</v>
      </c>
      <c r="E7" s="2">
        <v>4</v>
      </c>
      <c r="F7" s="2">
        <v>0</v>
      </c>
      <c r="G7" s="2">
        <v>0</v>
      </c>
      <c r="H7" s="2">
        <v>0</v>
      </c>
      <c r="I7" s="36" t="s">
        <v>429</v>
      </c>
    </row>
    <row r="8" spans="1:9" x14ac:dyDescent="0.25">
      <c r="A8" s="2">
        <v>3054</v>
      </c>
      <c r="B8" s="2">
        <v>4</v>
      </c>
      <c r="C8" s="2">
        <v>3</v>
      </c>
      <c r="D8" s="2">
        <v>4</v>
      </c>
      <c r="E8" s="2">
        <v>4</v>
      </c>
      <c r="F8" s="2">
        <v>1</v>
      </c>
      <c r="G8" s="2">
        <v>1</v>
      </c>
      <c r="H8" s="2">
        <v>0</v>
      </c>
      <c r="I8" s="36" t="s">
        <v>430</v>
      </c>
    </row>
    <row r="9" spans="1:9" x14ac:dyDescent="0.25">
      <c r="A9" s="2">
        <v>3078</v>
      </c>
      <c r="B9" s="2">
        <v>4</v>
      </c>
      <c r="C9" s="2">
        <v>4</v>
      </c>
      <c r="D9" s="2">
        <v>4</v>
      </c>
      <c r="E9" s="2">
        <v>4</v>
      </c>
      <c r="F9" s="2">
        <v>0</v>
      </c>
      <c r="G9" s="2">
        <v>0</v>
      </c>
      <c r="H9" s="2">
        <v>0</v>
      </c>
      <c r="I9" s="36" t="s">
        <v>431</v>
      </c>
    </row>
    <row r="10" spans="1:9" x14ac:dyDescent="0.25">
      <c r="A10" s="2">
        <v>3108</v>
      </c>
      <c r="B10" s="2">
        <v>4</v>
      </c>
      <c r="C10" s="2">
        <v>3</v>
      </c>
      <c r="D10" s="2">
        <v>2</v>
      </c>
      <c r="E10" s="2">
        <v>3</v>
      </c>
      <c r="F10" s="2">
        <v>1</v>
      </c>
      <c r="G10" s="2">
        <v>0</v>
      </c>
      <c r="H10" s="2">
        <v>0</v>
      </c>
      <c r="I10" s="36" t="s">
        <v>432</v>
      </c>
    </row>
    <row r="11" spans="1:9" x14ac:dyDescent="0.25">
      <c r="A11" s="2">
        <v>3142</v>
      </c>
      <c r="B11" s="2">
        <v>4</v>
      </c>
      <c r="C11" s="2">
        <v>3</v>
      </c>
      <c r="D11" s="2">
        <v>3</v>
      </c>
      <c r="E11" s="2">
        <v>3</v>
      </c>
      <c r="F11" s="2">
        <v>1</v>
      </c>
      <c r="G11" s="2">
        <v>0</v>
      </c>
      <c r="H11" s="2">
        <v>0</v>
      </c>
      <c r="I11" s="36" t="s">
        <v>433</v>
      </c>
    </row>
    <row r="12" spans="1:9" x14ac:dyDescent="0.25">
      <c r="A12" s="2">
        <v>3161</v>
      </c>
      <c r="B12" s="2">
        <v>4</v>
      </c>
      <c r="C12" s="2">
        <v>3</v>
      </c>
      <c r="D12" s="2">
        <v>2</v>
      </c>
      <c r="E12" s="2">
        <v>3</v>
      </c>
      <c r="F12" s="2">
        <v>1</v>
      </c>
      <c r="G12" s="2">
        <v>0</v>
      </c>
      <c r="H12" s="2">
        <v>0</v>
      </c>
      <c r="I12" s="36" t="s">
        <v>434</v>
      </c>
    </row>
    <row r="13" spans="1:9" ht="28.5" x14ac:dyDescent="0.25">
      <c r="A13" s="2">
        <v>3179</v>
      </c>
      <c r="B13" s="2">
        <v>4</v>
      </c>
      <c r="C13" s="2">
        <v>2</v>
      </c>
      <c r="D13" s="2">
        <v>3</v>
      </c>
      <c r="E13" s="2">
        <v>3</v>
      </c>
      <c r="F13" s="2">
        <v>2</v>
      </c>
      <c r="G13" s="2">
        <v>1</v>
      </c>
      <c r="H13" s="2">
        <v>0</v>
      </c>
      <c r="I13" s="36" t="s">
        <v>435</v>
      </c>
    </row>
    <row r="14" spans="1:9" ht="28.5" x14ac:dyDescent="0.25">
      <c r="A14" s="2">
        <v>3216</v>
      </c>
      <c r="B14" s="2">
        <v>4</v>
      </c>
      <c r="C14" s="2">
        <v>4</v>
      </c>
      <c r="D14" s="2">
        <v>3</v>
      </c>
      <c r="E14" s="2">
        <v>4</v>
      </c>
      <c r="F14" s="2">
        <v>0</v>
      </c>
      <c r="G14" s="2">
        <v>0</v>
      </c>
      <c r="H14" s="2">
        <v>0</v>
      </c>
      <c r="I14" s="36" t="s">
        <v>436</v>
      </c>
    </row>
    <row r="15" spans="1:9" x14ac:dyDescent="0.25">
      <c r="A15" s="2">
        <v>3229</v>
      </c>
      <c r="B15" s="2">
        <v>4</v>
      </c>
      <c r="C15" s="2">
        <v>4</v>
      </c>
      <c r="D15" s="2">
        <v>4</v>
      </c>
      <c r="E15" s="2">
        <v>4</v>
      </c>
      <c r="F15" s="2">
        <v>0</v>
      </c>
      <c r="G15" s="2">
        <v>0</v>
      </c>
      <c r="H15" s="2">
        <v>0</v>
      </c>
      <c r="I15" s="36" t="s">
        <v>437</v>
      </c>
    </row>
    <row r="16" spans="1:9" ht="28.5" x14ac:dyDescent="0.25">
      <c r="A16" s="2">
        <v>3245</v>
      </c>
      <c r="B16" s="2">
        <v>4</v>
      </c>
      <c r="C16" s="2">
        <v>3</v>
      </c>
      <c r="D16" s="2">
        <v>2</v>
      </c>
      <c r="E16" s="2">
        <v>3</v>
      </c>
      <c r="F16" s="2">
        <v>1</v>
      </c>
      <c r="G16" s="2">
        <v>0</v>
      </c>
      <c r="H16" s="2">
        <v>0</v>
      </c>
      <c r="I16" s="36" t="s">
        <v>438</v>
      </c>
    </row>
    <row r="17" spans="1:9" x14ac:dyDescent="0.25">
      <c r="A17" s="2">
        <v>3302</v>
      </c>
      <c r="B17" s="2">
        <v>4</v>
      </c>
      <c r="C17" s="2">
        <v>4</v>
      </c>
      <c r="D17" s="2">
        <v>4</v>
      </c>
      <c r="E17" s="2">
        <v>4</v>
      </c>
      <c r="F17" s="2">
        <v>0</v>
      </c>
      <c r="G17" s="2">
        <v>0</v>
      </c>
      <c r="H17" s="2">
        <v>0</v>
      </c>
      <c r="I17" s="36" t="s">
        <v>431</v>
      </c>
    </row>
    <row r="18" spans="1:9" x14ac:dyDescent="0.25">
      <c r="A18" s="2">
        <v>3305</v>
      </c>
      <c r="B18" s="2">
        <v>4</v>
      </c>
      <c r="C18" s="2">
        <v>3</v>
      </c>
      <c r="D18" s="2">
        <v>3</v>
      </c>
      <c r="E18" s="2">
        <v>3</v>
      </c>
      <c r="F18" s="2">
        <v>1</v>
      </c>
      <c r="G18" s="2">
        <v>0</v>
      </c>
      <c r="H18" s="2">
        <v>0</v>
      </c>
      <c r="I18" s="36" t="s">
        <v>439</v>
      </c>
    </row>
    <row r="19" spans="1:9" x14ac:dyDescent="0.25">
      <c r="A19" s="2">
        <v>3306</v>
      </c>
      <c r="B19" s="2">
        <v>4</v>
      </c>
      <c r="C19" s="2">
        <v>4</v>
      </c>
      <c r="D19" s="2">
        <v>4</v>
      </c>
      <c r="E19" s="2">
        <v>4</v>
      </c>
      <c r="F19" s="2">
        <v>0</v>
      </c>
      <c r="G19" s="2">
        <v>0</v>
      </c>
      <c r="H19" s="2">
        <v>0</v>
      </c>
      <c r="I19" s="36" t="s">
        <v>431</v>
      </c>
    </row>
    <row r="20" spans="1:9" x14ac:dyDescent="0.25">
      <c r="A20" s="2">
        <v>3308</v>
      </c>
      <c r="B20" s="2">
        <v>4</v>
      </c>
      <c r="C20" s="2">
        <v>3</v>
      </c>
      <c r="D20" s="2">
        <v>3</v>
      </c>
      <c r="E20" s="2">
        <v>3</v>
      </c>
      <c r="F20" s="2">
        <v>1</v>
      </c>
      <c r="G20" s="2">
        <v>0</v>
      </c>
      <c r="H20" s="2">
        <v>0</v>
      </c>
      <c r="I20" s="36" t="s">
        <v>440</v>
      </c>
    </row>
    <row r="21" spans="1:9" x14ac:dyDescent="0.25">
      <c r="A21" s="2">
        <v>3309</v>
      </c>
      <c r="B21" s="2">
        <v>4</v>
      </c>
      <c r="C21" s="2">
        <v>4</v>
      </c>
      <c r="D21" s="2">
        <v>4</v>
      </c>
      <c r="E21" s="2">
        <v>4</v>
      </c>
      <c r="F21" s="2">
        <v>0</v>
      </c>
      <c r="G21" s="2">
        <v>0</v>
      </c>
      <c r="H21" s="2">
        <v>0</v>
      </c>
      <c r="I21" s="36" t="s">
        <v>441</v>
      </c>
    </row>
    <row r="22" spans="1:9" x14ac:dyDescent="0.25">
      <c r="A22" s="2">
        <v>3311</v>
      </c>
      <c r="B22" s="2">
        <v>4</v>
      </c>
      <c r="C22" s="2">
        <v>4</v>
      </c>
      <c r="D22" s="2">
        <v>4</v>
      </c>
      <c r="E22" s="2">
        <v>4</v>
      </c>
      <c r="F22" s="2">
        <v>0</v>
      </c>
      <c r="G22" s="2">
        <v>0</v>
      </c>
      <c r="H22" s="2">
        <v>0</v>
      </c>
      <c r="I22" s="36" t="s">
        <v>431</v>
      </c>
    </row>
    <row r="23" spans="1:9" x14ac:dyDescent="0.25">
      <c r="A23" s="2">
        <v>3313</v>
      </c>
      <c r="B23" s="2">
        <v>4</v>
      </c>
      <c r="C23" s="2">
        <v>4</v>
      </c>
      <c r="D23" s="2">
        <v>3</v>
      </c>
      <c r="E23" s="2">
        <v>4</v>
      </c>
      <c r="F23" s="2">
        <v>0</v>
      </c>
      <c r="G23" s="2">
        <v>0</v>
      </c>
      <c r="H23" s="2">
        <v>0</v>
      </c>
      <c r="I23" s="36" t="s">
        <v>442</v>
      </c>
    </row>
    <row r="24" spans="1:9" ht="28.5" x14ac:dyDescent="0.25">
      <c r="A24" s="2">
        <v>3315</v>
      </c>
      <c r="B24" s="2">
        <v>4</v>
      </c>
      <c r="C24" s="2">
        <v>2</v>
      </c>
      <c r="D24" s="2">
        <v>2</v>
      </c>
      <c r="E24" s="2">
        <v>2</v>
      </c>
      <c r="F24" s="2">
        <v>2</v>
      </c>
      <c r="G24" s="2">
        <v>0</v>
      </c>
      <c r="H24" s="2">
        <v>0</v>
      </c>
      <c r="I24" s="36" t="s">
        <v>443</v>
      </c>
    </row>
    <row r="25" spans="1:9" ht="28.5" x14ac:dyDescent="0.25">
      <c r="A25" s="2">
        <v>3322</v>
      </c>
      <c r="B25" s="2">
        <v>4</v>
      </c>
      <c r="C25" s="2">
        <v>4</v>
      </c>
      <c r="D25" s="2">
        <v>3</v>
      </c>
      <c r="E25" s="2">
        <v>4</v>
      </c>
      <c r="F25" s="2">
        <v>2</v>
      </c>
      <c r="G25" s="2">
        <v>1</v>
      </c>
      <c r="H25" s="2">
        <v>1</v>
      </c>
      <c r="I25" s="36" t="s">
        <v>444</v>
      </c>
    </row>
    <row r="26" spans="1:9" x14ac:dyDescent="0.25">
      <c r="A26" s="2">
        <v>3442</v>
      </c>
      <c r="B26" s="2">
        <v>4</v>
      </c>
      <c r="C26" s="2">
        <v>3</v>
      </c>
      <c r="D26" s="2">
        <v>3</v>
      </c>
      <c r="E26" s="2">
        <v>3</v>
      </c>
      <c r="F26" s="2">
        <v>2</v>
      </c>
      <c r="G26" s="2">
        <v>1</v>
      </c>
      <c r="H26" s="2">
        <v>0</v>
      </c>
      <c r="I26" s="36" t="s">
        <v>445</v>
      </c>
    </row>
    <row r="27" spans="1:9" x14ac:dyDescent="0.25">
      <c r="A27" s="2">
        <v>3688</v>
      </c>
      <c r="B27" s="2">
        <v>4</v>
      </c>
      <c r="C27" s="2">
        <v>3</v>
      </c>
      <c r="D27" s="2">
        <v>3</v>
      </c>
      <c r="E27" s="2">
        <v>3</v>
      </c>
      <c r="F27" s="2">
        <v>1</v>
      </c>
      <c r="G27" s="2">
        <v>0</v>
      </c>
      <c r="H27" s="2">
        <v>0</v>
      </c>
      <c r="I27" s="36" t="s">
        <v>446</v>
      </c>
    </row>
    <row r="28" spans="1:9" ht="28.5" x14ac:dyDescent="0.25">
      <c r="A28" s="2">
        <v>3832</v>
      </c>
      <c r="B28" s="2">
        <v>4</v>
      </c>
      <c r="C28" s="2">
        <v>4</v>
      </c>
      <c r="D28" s="2">
        <v>4</v>
      </c>
      <c r="E28" s="2">
        <v>4</v>
      </c>
      <c r="F28" s="2">
        <v>0</v>
      </c>
      <c r="G28" s="2">
        <v>0</v>
      </c>
      <c r="H28" s="2">
        <v>0</v>
      </c>
      <c r="I28" s="36" t="s">
        <v>447</v>
      </c>
    </row>
    <row r="29" spans="1:9" x14ac:dyDescent="0.25">
      <c r="A29" s="2">
        <v>3862</v>
      </c>
      <c r="B29" s="2">
        <v>3</v>
      </c>
      <c r="C29" s="2">
        <v>3</v>
      </c>
      <c r="D29" s="2">
        <v>3</v>
      </c>
      <c r="E29" s="2">
        <v>3</v>
      </c>
      <c r="F29" s="2">
        <v>0</v>
      </c>
      <c r="G29" s="2">
        <v>0</v>
      </c>
      <c r="H29" s="2">
        <v>0</v>
      </c>
      <c r="I29" s="36" t="s">
        <v>448</v>
      </c>
    </row>
    <row r="30" spans="1:9" x14ac:dyDescent="0.25">
      <c r="A30" s="37" t="s">
        <v>405</v>
      </c>
      <c r="B30" s="37">
        <f t="shared" ref="B30:H30" si="0">SUM(B2:B29)</f>
        <v>111</v>
      </c>
      <c r="C30" s="37">
        <f t="shared" si="0"/>
        <v>95</v>
      </c>
      <c r="D30" s="37">
        <f t="shared" si="0"/>
        <v>88</v>
      </c>
      <c r="E30" s="37">
        <f t="shared" si="0"/>
        <v>97</v>
      </c>
      <c r="F30" s="37">
        <f t="shared" si="0"/>
        <v>20</v>
      </c>
      <c r="G30" s="37">
        <f t="shared" si="0"/>
        <v>5</v>
      </c>
      <c r="H30" s="37">
        <f t="shared" si="0"/>
        <v>1</v>
      </c>
    </row>
    <row r="32" spans="1:9" x14ac:dyDescent="0.25">
      <c r="A32" s="31" t="s">
        <v>449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9" customWidth="1"/>
    <col min="2" max="2" width="15" customWidth="1"/>
    <col min="3" max="3" width="42" customWidth="1"/>
    <col min="4" max="4" width="13" customWidth="1"/>
    <col min="5" max="5" width="12" customWidth="1"/>
    <col min="6" max="6" width="56" customWidth="1"/>
    <col min="7" max="7" width="60" customWidth="1"/>
  </cols>
  <sheetData>
    <row r="1" spans="1:7" x14ac:dyDescent="0.25">
      <c r="A1" s="7" t="s">
        <v>19</v>
      </c>
      <c r="B1" s="7" t="s">
        <v>20</v>
      </c>
      <c r="C1" s="7" t="s">
        <v>22</v>
      </c>
      <c r="D1" s="7" t="s">
        <v>450</v>
      </c>
      <c r="E1" s="7" t="s">
        <v>451</v>
      </c>
      <c r="F1" s="7" t="s">
        <v>452</v>
      </c>
      <c r="G1" s="7" t="s">
        <v>17</v>
      </c>
    </row>
    <row r="2" spans="1:7" x14ac:dyDescent="0.25">
      <c r="A2" s="2">
        <v>512</v>
      </c>
      <c r="B2" s="2" t="s">
        <v>55</v>
      </c>
      <c r="C2" s="2" t="s">
        <v>75</v>
      </c>
      <c r="D2" s="2" t="s">
        <v>36</v>
      </c>
      <c r="E2" s="2" t="s">
        <v>61</v>
      </c>
      <c r="F2" s="2" t="s">
        <v>4</v>
      </c>
      <c r="G2" s="2" t="s">
        <v>77</v>
      </c>
    </row>
    <row r="3" spans="1:7" x14ac:dyDescent="0.25">
      <c r="A3" s="2">
        <v>513</v>
      </c>
      <c r="B3" s="2" t="s">
        <v>33</v>
      </c>
      <c r="C3" s="2" t="s">
        <v>79</v>
      </c>
      <c r="D3" s="2" t="s">
        <v>36</v>
      </c>
      <c r="E3" s="2" t="s">
        <v>61</v>
      </c>
      <c r="F3" s="2" t="s">
        <v>4</v>
      </c>
      <c r="G3" s="2"/>
    </row>
    <row r="4" spans="1:7" x14ac:dyDescent="0.25">
      <c r="A4" s="2">
        <v>3108</v>
      </c>
      <c r="B4" s="2" t="s">
        <v>44</v>
      </c>
      <c r="C4" s="2" t="s">
        <v>159</v>
      </c>
      <c r="D4" s="2" t="s">
        <v>36</v>
      </c>
      <c r="E4" s="2" t="s">
        <v>61</v>
      </c>
      <c r="F4" s="2" t="s">
        <v>4</v>
      </c>
      <c r="G4" s="2" t="s">
        <v>77</v>
      </c>
    </row>
    <row r="5" spans="1:7" x14ac:dyDescent="0.25">
      <c r="A5" s="2">
        <v>3142</v>
      </c>
      <c r="B5" s="2" t="s">
        <v>55</v>
      </c>
      <c r="C5" s="2" t="s">
        <v>177</v>
      </c>
      <c r="D5" s="2" t="s">
        <v>36</v>
      </c>
      <c r="E5" s="2" t="s">
        <v>61</v>
      </c>
      <c r="F5" s="2" t="s">
        <v>4</v>
      </c>
      <c r="G5" s="2" t="s">
        <v>77</v>
      </c>
    </row>
    <row r="6" spans="1:7" x14ac:dyDescent="0.25">
      <c r="A6" s="2">
        <v>3308</v>
      </c>
      <c r="B6" s="2" t="s">
        <v>33</v>
      </c>
      <c r="C6" s="2" t="s">
        <v>283</v>
      </c>
      <c r="D6" s="2" t="s">
        <v>36</v>
      </c>
      <c r="E6" s="2" t="s">
        <v>61</v>
      </c>
      <c r="F6" s="2" t="s">
        <v>4</v>
      </c>
      <c r="G6" s="2" t="s">
        <v>77</v>
      </c>
    </row>
    <row r="7" spans="1:7" x14ac:dyDescent="0.25">
      <c r="A7" s="2">
        <v>3315</v>
      </c>
      <c r="B7" s="2" t="s">
        <v>33</v>
      </c>
      <c r="C7" s="2" t="s">
        <v>330</v>
      </c>
      <c r="D7" s="2" t="s">
        <v>36</v>
      </c>
      <c r="E7" s="2" t="s">
        <v>61</v>
      </c>
      <c r="F7" s="2" t="s">
        <v>4</v>
      </c>
      <c r="G7" s="2" t="s">
        <v>77</v>
      </c>
    </row>
    <row r="8" spans="1:7" x14ac:dyDescent="0.25">
      <c r="A8" s="2">
        <v>3315</v>
      </c>
      <c r="B8" s="2" t="s">
        <v>55</v>
      </c>
      <c r="C8" s="2" t="s">
        <v>339</v>
      </c>
      <c r="D8" s="2" t="s">
        <v>36</v>
      </c>
      <c r="E8" s="2" t="s">
        <v>61</v>
      </c>
      <c r="F8" s="2" t="s">
        <v>4</v>
      </c>
      <c r="G8" s="2" t="s">
        <v>77</v>
      </c>
    </row>
    <row r="9" spans="1:7" x14ac:dyDescent="0.25">
      <c r="A9" s="2">
        <v>3054</v>
      </c>
      <c r="B9" s="2" t="s">
        <v>55</v>
      </c>
      <c r="C9" s="2" t="s">
        <v>141</v>
      </c>
      <c r="D9" s="2" t="s">
        <v>61</v>
      </c>
      <c r="E9" s="2" t="s">
        <v>36</v>
      </c>
      <c r="F9" s="2" t="s">
        <v>5</v>
      </c>
      <c r="G9" s="2"/>
    </row>
    <row r="10" spans="1:7" x14ac:dyDescent="0.25">
      <c r="A10" s="2">
        <v>3322</v>
      </c>
      <c r="B10" s="2" t="s">
        <v>44</v>
      </c>
      <c r="C10" s="2" t="s">
        <v>345</v>
      </c>
      <c r="D10" s="2" t="s">
        <v>61</v>
      </c>
      <c r="E10" s="2" t="s">
        <v>36</v>
      </c>
      <c r="F10" s="2" t="s">
        <v>5</v>
      </c>
      <c r="G10" s="2" t="s">
        <v>348</v>
      </c>
    </row>
    <row r="11" spans="1:7" x14ac:dyDescent="0.25">
      <c r="A11" s="2">
        <v>3688</v>
      </c>
      <c r="B11" s="2" t="s">
        <v>55</v>
      </c>
      <c r="C11" s="2" t="s">
        <v>375</v>
      </c>
      <c r="D11" s="2" t="s">
        <v>61</v>
      </c>
      <c r="E11" s="2" t="s">
        <v>36</v>
      </c>
      <c r="F11" s="2" t="s">
        <v>5</v>
      </c>
      <c r="G11" s="2"/>
    </row>
    <row r="12" spans="1:7" x14ac:dyDescent="0.25">
      <c r="A12" s="2">
        <v>1160</v>
      </c>
      <c r="B12" s="2" t="s">
        <v>33</v>
      </c>
      <c r="C12" s="2" t="s">
        <v>104</v>
      </c>
      <c r="D12" s="2" t="s">
        <v>40</v>
      </c>
      <c r="E12" s="2" t="s">
        <v>36</v>
      </c>
      <c r="F12" s="2" t="s">
        <v>106</v>
      </c>
      <c r="G12" s="2"/>
    </row>
    <row r="13" spans="1:7" x14ac:dyDescent="0.25">
      <c r="A13" s="2">
        <v>1160</v>
      </c>
      <c r="B13" s="2" t="s">
        <v>44</v>
      </c>
      <c r="C13" s="2" t="s">
        <v>108</v>
      </c>
      <c r="D13" s="2" t="s">
        <v>40</v>
      </c>
      <c r="E13" s="2" t="s">
        <v>36</v>
      </c>
      <c r="F13" s="2" t="s">
        <v>106</v>
      </c>
      <c r="G13" s="2"/>
    </row>
    <row r="14" spans="1:7" x14ac:dyDescent="0.25">
      <c r="A14" s="2">
        <v>1160</v>
      </c>
      <c r="B14" s="2" t="s">
        <v>48</v>
      </c>
      <c r="C14" s="2" t="s">
        <v>111</v>
      </c>
      <c r="D14" s="2" t="s">
        <v>40</v>
      </c>
      <c r="E14" s="2" t="s">
        <v>36</v>
      </c>
      <c r="F14" s="2" t="s">
        <v>106</v>
      </c>
      <c r="G14" s="2"/>
    </row>
    <row r="15" spans="1:7" x14ac:dyDescent="0.25">
      <c r="A15" s="2">
        <v>1160</v>
      </c>
      <c r="B15" s="2" t="s">
        <v>55</v>
      </c>
      <c r="C15" s="2" t="s">
        <v>114</v>
      </c>
      <c r="D15" s="2" t="s">
        <v>40</v>
      </c>
      <c r="E15" s="2" t="s">
        <v>36</v>
      </c>
      <c r="F15" s="2" t="s">
        <v>106</v>
      </c>
      <c r="G15" s="2" t="s">
        <v>54</v>
      </c>
    </row>
    <row r="16" spans="1:7" x14ac:dyDescent="0.25">
      <c r="A16" s="2">
        <v>3245</v>
      </c>
      <c r="B16" s="2" t="s">
        <v>33</v>
      </c>
      <c r="C16" s="2" t="s">
        <v>234</v>
      </c>
      <c r="D16" s="2" t="s">
        <v>40</v>
      </c>
      <c r="E16" s="2" t="s">
        <v>36</v>
      </c>
      <c r="F16" s="2" t="s">
        <v>106</v>
      </c>
      <c r="G16" s="2" t="s">
        <v>236</v>
      </c>
    </row>
    <row r="17" spans="1:7" x14ac:dyDescent="0.25">
      <c r="A17" s="2">
        <v>3245</v>
      </c>
      <c r="B17" s="2" t="s">
        <v>44</v>
      </c>
      <c r="C17" s="2" t="s">
        <v>238</v>
      </c>
      <c r="D17" s="2" t="s">
        <v>40</v>
      </c>
      <c r="E17" s="2" t="s">
        <v>36</v>
      </c>
      <c r="F17" s="2" t="s">
        <v>106</v>
      </c>
      <c r="G17" s="2" t="s">
        <v>236</v>
      </c>
    </row>
    <row r="18" spans="1:7" x14ac:dyDescent="0.25">
      <c r="A18" s="2">
        <v>3245</v>
      </c>
      <c r="B18" s="2" t="s">
        <v>48</v>
      </c>
      <c r="C18" s="2" t="s">
        <v>241</v>
      </c>
      <c r="D18" s="2" t="s">
        <v>40</v>
      </c>
      <c r="E18" s="2" t="s">
        <v>36</v>
      </c>
      <c r="F18" s="2" t="s">
        <v>106</v>
      </c>
      <c r="G18" s="2" t="s">
        <v>236</v>
      </c>
    </row>
    <row r="19" spans="1:7" x14ac:dyDescent="0.25">
      <c r="A19" s="2">
        <v>3245</v>
      </c>
      <c r="B19" s="2" t="s">
        <v>55</v>
      </c>
      <c r="C19" s="2" t="s">
        <v>244</v>
      </c>
      <c r="D19" s="2" t="s">
        <v>65</v>
      </c>
      <c r="E19" s="2" t="s">
        <v>61</v>
      </c>
      <c r="F19" s="2" t="s">
        <v>246</v>
      </c>
      <c r="G19" s="2"/>
    </row>
    <row r="20" spans="1:7" x14ac:dyDescent="0.25">
      <c r="A20" s="2">
        <v>3305</v>
      </c>
      <c r="B20" s="2" t="s">
        <v>33</v>
      </c>
      <c r="C20" s="2" t="s">
        <v>259</v>
      </c>
      <c r="D20" s="2" t="s">
        <v>40</v>
      </c>
      <c r="E20" s="2" t="s">
        <v>61</v>
      </c>
      <c r="F20" s="2" t="s">
        <v>106</v>
      </c>
      <c r="G20" s="2" t="s">
        <v>77</v>
      </c>
    </row>
    <row r="21" spans="1:7" x14ac:dyDescent="0.25">
      <c r="A21" s="2">
        <v>3305</v>
      </c>
      <c r="B21" s="2" t="s">
        <v>44</v>
      </c>
      <c r="C21" s="2" t="s">
        <v>262</v>
      </c>
      <c r="D21" s="2" t="s">
        <v>40</v>
      </c>
      <c r="E21" s="2" t="s">
        <v>36</v>
      </c>
      <c r="F21" s="2" t="s">
        <v>106</v>
      </c>
      <c r="G21" s="2"/>
    </row>
    <row r="22" spans="1:7" x14ac:dyDescent="0.25">
      <c r="A22" s="2">
        <v>3305</v>
      </c>
      <c r="B22" s="2" t="s">
        <v>48</v>
      </c>
      <c r="C22" s="2" t="s">
        <v>265</v>
      </c>
      <c r="D22" s="2" t="s">
        <v>40</v>
      </c>
      <c r="E22" s="2" t="s">
        <v>36</v>
      </c>
      <c r="F22" s="2" t="s">
        <v>106</v>
      </c>
      <c r="G22" s="2"/>
    </row>
    <row r="23" spans="1:7" x14ac:dyDescent="0.25">
      <c r="A23" s="2">
        <v>3305</v>
      </c>
      <c r="B23" s="2" t="s">
        <v>55</v>
      </c>
      <c r="C23" s="2" t="s">
        <v>268</v>
      </c>
      <c r="D23" s="2" t="s">
        <v>40</v>
      </c>
      <c r="E23" s="2" t="s">
        <v>36</v>
      </c>
      <c r="F23" s="2" t="s">
        <v>106</v>
      </c>
      <c r="G23" s="2"/>
    </row>
    <row r="24" spans="1:7" x14ac:dyDescent="0.25">
      <c r="A24" s="2">
        <v>3311</v>
      </c>
      <c r="B24" s="2" t="s">
        <v>33</v>
      </c>
      <c r="C24" s="2" t="s">
        <v>306</v>
      </c>
      <c r="D24" s="2" t="s">
        <v>65</v>
      </c>
      <c r="E24" s="2" t="s">
        <v>36</v>
      </c>
      <c r="F24" s="2" t="s">
        <v>246</v>
      </c>
      <c r="G24" s="2"/>
    </row>
    <row r="25" spans="1:7" x14ac:dyDescent="0.25">
      <c r="A25" s="2">
        <v>3311</v>
      </c>
      <c r="B25" s="2" t="s">
        <v>44</v>
      </c>
      <c r="C25" s="2" t="s">
        <v>309</v>
      </c>
      <c r="D25" s="2" t="s">
        <v>65</v>
      </c>
      <c r="E25" s="2" t="s">
        <v>36</v>
      </c>
      <c r="F25" s="2" t="s">
        <v>246</v>
      </c>
      <c r="G25" s="2" t="s">
        <v>87</v>
      </c>
    </row>
    <row r="26" spans="1:7" x14ac:dyDescent="0.25">
      <c r="A26" s="2">
        <v>3311</v>
      </c>
      <c r="B26" s="2" t="s">
        <v>48</v>
      </c>
      <c r="C26" s="2" t="s">
        <v>312</v>
      </c>
      <c r="D26" s="2" t="s">
        <v>40</v>
      </c>
      <c r="E26" s="2" t="s">
        <v>36</v>
      </c>
      <c r="F26" s="2" t="s">
        <v>106</v>
      </c>
      <c r="G26" s="2"/>
    </row>
    <row r="27" spans="1:7" x14ac:dyDescent="0.25">
      <c r="A27" s="2">
        <v>3311</v>
      </c>
      <c r="B27" s="2" t="s">
        <v>55</v>
      </c>
      <c r="C27" s="2" t="s">
        <v>315</v>
      </c>
      <c r="D27" s="2" t="s">
        <v>40</v>
      </c>
      <c r="E27" s="2" t="s">
        <v>36</v>
      </c>
      <c r="F27" s="2" t="s">
        <v>106</v>
      </c>
      <c r="G27" s="2"/>
    </row>
  </sheetData>
  <autoFilter ref="A1:G27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zoomScaleNormal="100" workbookViewId="0"/>
  </sheetViews>
  <sheetFormatPr defaultColWidth="8.7109375" defaultRowHeight="15" x14ac:dyDescent="0.25"/>
  <cols>
    <col min="1" max="1" width="34" customWidth="1"/>
    <col min="2" max="2" width="18" customWidth="1"/>
    <col min="3" max="3" width="8" customWidth="1"/>
    <col min="4" max="4" width="10" customWidth="1"/>
    <col min="5" max="5" width="12" customWidth="1"/>
    <col min="6" max="6" width="90" customWidth="1"/>
  </cols>
  <sheetData>
    <row r="1" spans="1:6" x14ac:dyDescent="0.25">
      <c r="A1" s="7" t="s">
        <v>453</v>
      </c>
      <c r="B1" s="7" t="s">
        <v>454</v>
      </c>
      <c r="C1" s="7" t="s">
        <v>455</v>
      </c>
      <c r="D1" s="7" t="s">
        <v>456</v>
      </c>
      <c r="E1" s="7" t="s">
        <v>457</v>
      </c>
      <c r="F1" s="7" t="s">
        <v>17</v>
      </c>
    </row>
    <row r="2" spans="1:6" x14ac:dyDescent="0.25">
      <c r="A2" s="2" t="s">
        <v>458</v>
      </c>
      <c r="B2" s="2" t="s">
        <v>459</v>
      </c>
      <c r="C2" s="2">
        <v>3322</v>
      </c>
      <c r="D2" s="2" t="s">
        <v>41</v>
      </c>
      <c r="E2" s="2" t="s">
        <v>42</v>
      </c>
      <c r="F2" s="2" t="s">
        <v>460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Mesarios</vt:lpstr>
      <vt:lpstr>Presenca por secao</vt:lpstr>
      <vt:lpstr>Por secao</vt:lpstr>
      <vt:lpstr>Boletins</vt:lpstr>
      <vt:lpstr>Divergências</vt:lpstr>
      <vt:lpstr>Fora da 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Hamad Mota Kalaf</cp:lastModifiedBy>
  <dcterms:created xsi:type="dcterms:W3CDTF">2026-10-12T10:23:07Z</dcterms:created>
  <dcterms:modified xsi:type="dcterms:W3CDTF">2026-10-12T10:23:07Z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2026-09-22T17:36:25Z</dcterms:created>
  <dc:creator>openpyxl</dc:creator>
  <dc:description/>
  <dc:language>en-US</dc:language>
  <cp:lastModifiedBy>Hamad Mota Kalaf</cp:lastModifiedBy>
  <dcterms:modified xsi:type="dcterms:W3CDTF">2026-10-06T15:09:45Z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0x010100975F954B7D72B645B4C0A5F040EF7123</vt:lpwstr>
  </property>
  <property fmtid="{D5CDD505-2E9C-101B-9397-08002B2CF9AE}" pid="3" name="MediaServiceImageTags">
    <vt:lpwstr/>
  </property>
</Properties>
</file>