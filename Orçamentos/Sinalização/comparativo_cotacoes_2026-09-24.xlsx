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Necessidade" sheetId="2" state="visible" r:id="rId4"/>
    <sheet name="Banner Printing" sheetId="3" state="visible" r:id="rId5"/>
    <sheet name="Snap Leeson" sheetId="4" state="visible" r:id="rId6"/>
    <sheet name="Comparativ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6" authorId="0">
      <text>
        <r>
          <rPr>
            <sz val="10"/>
            <rFont val="Arial"/>
            <family val="2"/>
          </rPr>
          <t xml:space="preserve">41 itens = 40 peças + 1 verba de fixação, como na tabela do artefato.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3" authorId="0">
      <text>
        <r>
          <rPr>
            <sz val="10"/>
            <rFont val="Arial"/>
            <family val="2"/>
          </rPr>
          <t xml:space="preserve">Exclui a linha "Premium": é alternativa aos Basic, não soma.</t>
        </r>
      </text>
    </comment>
  </commentList>
</comments>
</file>

<file path=xl/sharedStrings.xml><?xml version="1.0" encoding="utf-8"?>
<sst xmlns="http://schemas.openxmlformats.org/spreadsheetml/2006/main" count="325" uniqueCount="215">
  <si>
    <t xml:space="preserve">Cotações de sinalização × necessidade do plano — 24/09/2026</t>
  </si>
  <si>
    <t xml:space="preserve">Eleições 2026 · Posto de Dublin · RDS Hall 2. Duas cotações recebidas em 24/09 contra as 40 peças (+ fixação) do artefato de 23/09.</t>
  </si>
  <si>
    <t xml:space="preserve">Banner Printing (e-mail)</t>
  </si>
  <si>
    <t xml:space="preserve">Snap Leeson (ref. 1554129)</t>
  </si>
  <si>
    <t xml:space="preserve">Helloprint (ref. 18/09)</t>
  </si>
  <si>
    <t xml:space="preserve">Nota</t>
  </si>
  <si>
    <t xml:space="preserve">Como foi cotado — subtotal sem IVA</t>
  </si>
  <si>
    <t xml:space="preserve">Snap: sem a linha Premium (alternativa aos Basic). Helloprint: referência de 18/09, não foi pedido de novo.</t>
  </si>
  <si>
    <t xml:space="preserve">Como foi cotado — total com IVA</t>
  </si>
  <si>
    <t xml:space="preserve">Pedido corrigido — subtotal sem IVA (linhas com preço)</t>
  </si>
  <si>
    <t xml:space="preserve">Só o que cada gráfica já precificou; ver linhas "a cotar".</t>
  </si>
  <si>
    <t xml:space="preserve">Pedido corrigido — IVA 23%</t>
  </si>
  <si>
    <t xml:space="preserve">Pedido corrigido — total com IVA</t>
  </si>
  <si>
    <t xml:space="preserve">Diferença da correção (sem IVA)</t>
  </si>
  <si>
    <t xml:space="preserve">Negativo = o pedido corrigido fica mais barato do que o cotado.</t>
  </si>
  <si>
    <t xml:space="preserve">Linhas ainda por cotar</t>
  </si>
  <si>
    <t xml:space="preserve">Banner Printing: vinil, correx, fixação. Snap: vinil, fixação.</t>
  </si>
  <si>
    <t xml:space="preserve">O que dizer a cada gráfica</t>
  </si>
  <si>
    <t xml:space="preserve">Item</t>
  </si>
  <si>
    <t xml:space="preserve">Banner Printing</t>
  </si>
  <si>
    <t xml:space="preserve">Snap Leeson</t>
  </si>
  <si>
    <t xml:space="preserve">Certo (artefato)</t>
  </si>
  <si>
    <t xml:space="preserve">O que corrigir</t>
  </si>
  <si>
    <t xml:space="preserve">Fence banner 2080 × 820 mm (mesh)</t>
  </si>
  <si>
    <t xml:space="preserve">12 × € 70</t>
  </si>
  <si>
    <t xml:space="preserve">12 × € 110 (lote € 1.320)</t>
  </si>
  <si>
    <t xml:space="preserve">12 (fichas: 11)</t>
  </si>
  <si>
    <t xml:space="preserve">Nada a corrigir no pedido. Internamente: confirmar 12 × 11 antes de fechar.</t>
  </si>
  <si>
    <t xml:space="preserve">Banner PVC 2000 × 1000 mm</t>
  </si>
  <si>
    <t xml:space="preserve">12 × € 74</t>
  </si>
  <si>
    <t xml:space="preserve">3</t>
  </si>
  <si>
    <t xml:space="preserve">Reduzir de 12 para 3. As 12 foram copiadas do número de fence banners.</t>
  </si>
  <si>
    <t xml:space="preserve">Pull-up 1000 × 2000 mm</t>
  </si>
  <si>
    <t xml:space="preserve">3 × € 149</t>
  </si>
  <si>
    <t xml:space="preserve">1 × € 333</t>
  </si>
  <si>
    <t xml:space="preserve">Snap: subir de 1 para 3. Banner Printing está certo.</t>
  </si>
  <si>
    <t xml:space="preserve">Pull-up 850 × 2000 mm</t>
  </si>
  <si>
    <t xml:space="preserve">16 × € 99</t>
  </si>
  <si>
    <t xml:space="preserve">16 × € 90 (Basic) ou € 154,69 (Premium)</t>
  </si>
  <si>
    <t xml:space="preserve">16</t>
  </si>
  <si>
    <t xml:space="preserve">Nada a corrigir. Snap: escolher Basic ou Premium.</t>
  </si>
  <si>
    <t xml:space="preserve">Vinil recortado para vidro 1200 × 700 mm</t>
  </si>
  <si>
    <t xml:space="preserve">4 × "90 × 90 cm custom banner" a € 35</t>
  </si>
  <si>
    <t xml:space="preserve">não cotado</t>
  </si>
  <si>
    <t xml:space="preserve">4</t>
  </si>
  <si>
    <t xml:space="preserve">Banner Printing: trocar o banner 90 × 90 por vinil adesivo recortado (letras A/B/C de 300 mm + pictogramas da S7), removível. Snap: pedir a linha.</t>
  </si>
  <si>
    <t xml:space="preserve">Placa correx 4 mm A2 (594 × 420)</t>
  </si>
  <si>
    <t xml:space="preserve">2 × € 20 (corriboard 5 mm)</t>
  </si>
  <si>
    <t xml:space="preserve">2</t>
  </si>
  <si>
    <t xml:space="preserve">Banner Printing: pedir a linha. Snap está certo (5 mm serve).</t>
  </si>
  <si>
    <t xml:space="preserve">Fixação (tie wraps, ímãs, fita)</t>
  </si>
  <si>
    <t xml:space="preserve">verba ~€ 40</t>
  </si>
  <si>
    <t xml:space="preserve">Não é item de gráfica; comprar à parte.</t>
  </si>
  <si>
    <t xml:space="preserve">Entrega</t>
  </si>
  <si>
    <t xml:space="preserve">€ 15</t>
  </si>
  <si>
    <t xml:space="preserve">não informado</t>
  </si>
  <si>
    <t xml:space="preserve">—</t>
  </si>
  <si>
    <t xml:space="preserve">Snap: perguntar frete ou retirada. Prazo: eleição em 04/10.</t>
  </si>
  <si>
    <t xml:space="preserve">Ressalvas</t>
  </si>
  <si>
    <t xml:space="preserve">1. Fence banners: a tabela do artefato diz 12 (10 da cotação de 18/09 + 2º P0-Consulta + Fim da avenida B) e "19 peças externas", mas as fichas peça a peça somam 11 (P0 2+2, P1, P3, P4 ×4, P5-Preferencial). Esta planilha usa 12; se for 11, tire um unitário de cada coluna.</t>
  </si>
  <si>
    <t xml:space="preserve">2. Unitários de lote (Snap) reaplicados a quantidades menores são premissa: 3 PVC e 3 pull-ups largos podem sair mais caros por unidade do que 12 e 1. Pedir a cotação refeita, não só multiplicar.</t>
  </si>
  <si>
    <t xml:space="preserve">3. Os dois totais corrigidos não incluem o vinil recortado nem a fixação; o da Banner Printing também não inclui as placas correx. Comparar só depois de as gráficas cotarem o que falta.</t>
  </si>
  <si>
    <t xml:space="preserve">4. Ambas as gráficas ficam bem acima da referência de 18/09 do Helloprint (ver aba Comparativo, linha "Múltiplo"). O Helloprint, porém, era catálogo online com prazo já vencido e quatro linhas sem preço.</t>
  </si>
  <si>
    <t xml:space="preserve">5. Cores e fonte: rolo azul #33507E, amarelo #E8C63A, vermelho #C8102E (proposta até o rolo chegar), Montserrat. Pedir prova de cor antes de imprimir a tiragem.</t>
  </si>
  <si>
    <t xml:space="preserve">Legenda: azul = número digitado das cotações/artefato · amarelo = quantidade a corrigir · vermelho = linha não cotada · verde = linha certa. Preços em EUR, IVA irlandês 23%.</t>
  </si>
  <si>
    <t xml:space="preserve">O que o plano de sinalização precisa (artefato "Plano de Sinalização · Posto de Dublin", rev. 23/09/2026)</t>
  </si>
  <si>
    <t xml:space="preserve">Fonte: fichas peça a peça do artefato https://claude.ai/artifact/EUNZhAFtSfUtRrLvqkvFVZ e a tabela "Onde o orçamento vai". Quantidades em azul são as do artefato.</t>
  </si>
  <si>
    <t xml:space="preserve">Ponto</t>
  </si>
  <si>
    <t xml:space="preserve">Peça</t>
  </si>
  <si>
    <t xml:space="preserve">Modelo (linha de cotação)</t>
  </si>
  <si>
    <t xml:space="preserve">Medida (mm)</t>
  </si>
  <si>
    <t xml:space="preserve">Qtd</t>
  </si>
  <si>
    <t xml:space="preserve">Fixação / observação</t>
  </si>
  <si>
    <t xml:space="preserve">P0</t>
  </si>
  <si>
    <t xml:space="preserve">Descubra sua seção (QR do TSE)</t>
  </si>
  <si>
    <t xml:space="preserve">Fence banner 2080 × 820 mm</t>
  </si>
  <si>
    <t xml:space="preserve">2080 × 820</t>
  </si>
  <si>
    <t xml:space="preserve">Calçada da Merrion Road, uma de cada lado do portão; tie wraps no gradil</t>
  </si>
  <si>
    <t xml:space="preserve">Tabela mestra na calçada</t>
  </si>
  <si>
    <t xml:space="preserve">Idem, ao lado de cada P0-Consulta</t>
  </si>
  <si>
    <t xml:space="preserve">P1</t>
  </si>
  <si>
    <t xml:space="preserve">Portão de eleitores</t>
  </si>
  <si>
    <t xml:space="preserve">Tie wraps nas grades do portão</t>
  </si>
  <si>
    <t xml:space="preserve">P2</t>
  </si>
  <si>
    <t xml:space="preserve">Lateral leste do Hall 2</t>
  </si>
  <si>
    <t xml:space="preserve">2000 × 1000</t>
  </si>
  <si>
    <t xml:space="preserve">Pendurado nas portas de serviço com ganchos magnéticos; parede abriga do vento</t>
  </si>
  <si>
    <t xml:space="preserve">P3</t>
  </si>
  <si>
    <t xml:space="preserve">Entrada do Ring 3</t>
  </si>
  <si>
    <t xml:space="preserve">Tie wraps na CCB</t>
  </si>
  <si>
    <t xml:space="preserve">P4</t>
  </si>
  <si>
    <t xml:space="preserve">Boca da zona C</t>
  </si>
  <si>
    <t xml:space="preserve">Tie wraps na CCB (cobre o painel de 2,0 m)</t>
  </si>
  <si>
    <t xml:space="preserve">Boca da zona B</t>
  </si>
  <si>
    <t xml:space="preserve">Idem</t>
  </si>
  <si>
    <t xml:space="preserve">Boca da zona A</t>
  </si>
  <si>
    <t xml:space="preserve">Fim da avenida B</t>
  </si>
  <si>
    <t xml:space="preserve">Tie wraps na última unifila da avenida B (peça de 23/09)</t>
  </si>
  <si>
    <t xml:space="preserve">P5</t>
  </si>
  <si>
    <t xml:space="preserve">Entrada preferencial</t>
  </si>
  <si>
    <t xml:space="preserve">Tie wraps no gradil do apron</t>
  </si>
  <si>
    <t xml:space="preserve">Letra da porta A no vidro</t>
  </si>
  <si>
    <t xml:space="preserve">Vinil recortado por porta</t>
  </si>
  <si>
    <t xml:space="preserve">1200 × 700</t>
  </si>
  <si>
    <t xml:space="preserve">Vinil adesivo recortado, colado no vidro, sai sem resíduo; letra de 300 mm</t>
  </si>
  <si>
    <t xml:space="preserve">Letra da porta B no vidro</t>
  </si>
  <si>
    <t xml:space="preserve">Letra da porta C no vidro</t>
  </si>
  <si>
    <t xml:space="preserve">Porta preferencial S7 no vidro</t>
  </si>
  <si>
    <t xml:space="preserve">Idem; pictogramas de 200 mm</t>
  </si>
  <si>
    <t xml:space="preserve">P6</t>
  </si>
  <si>
    <t xml:space="preserve">Painel da porta A</t>
  </si>
  <si>
    <t xml:space="preserve">1000 × 2000</t>
  </si>
  <si>
    <t xml:space="preserve">Autoportante (cassete)</t>
  </si>
  <si>
    <t xml:space="preserve">Painel da porta B</t>
  </si>
  <si>
    <t xml:space="preserve">Painel da porta C</t>
  </si>
  <si>
    <t xml:space="preserve">Placas de grupo A1–A5, B1–B5, C1–C6</t>
  </si>
  <si>
    <t xml:space="preserve">850 × 2000</t>
  </si>
  <si>
    <t xml:space="preserve">Uma por par de mesas; autoportante</t>
  </si>
  <si>
    <t xml:space="preserve">P7</t>
  </si>
  <si>
    <t xml:space="preserve">Saídas S2 e S8</t>
  </si>
  <si>
    <t xml:space="preserve">Placa correx 4 mm A2</t>
  </si>
  <si>
    <t xml:space="preserve">594 × 420</t>
  </si>
  <si>
    <t xml:space="preserve">Abraçadeira no batente / fita</t>
  </si>
  <si>
    <t xml:space="preserve">Fixação</t>
  </si>
  <si>
    <t xml:space="preserve">Verba; nenhuma das duas gráficas cotou</t>
  </si>
  <si>
    <t xml:space="preserve">Total de peças</t>
  </si>
  <si>
    <t xml:space="preserve">Resumo por linha de cotação</t>
  </si>
  <si>
    <t xml:space="preserve">#</t>
  </si>
  <si>
    <t xml:space="preserve">Qtd no artefato</t>
  </si>
  <si>
    <t xml:space="preserve">Qtd nas fichas</t>
  </si>
  <si>
    <t xml:space="preserve">Diferença</t>
  </si>
  <si>
    <t xml:space="preserve">Observação</t>
  </si>
  <si>
    <t xml:space="preserve">A tabela do artefato diz 12 (e "19 peças externas"), mas as fichas peça a peça somam 11. Confirmar antes de fechar o pedido — ver aba Resumo.</t>
  </si>
  <si>
    <t xml:space="preserve">Não é banner: é letra/pictograma em vinil adesivo recortado para vidro, 1200 × 700 mm.</t>
  </si>
  <si>
    <t xml:space="preserve">Snap cotou corriboard 5 mm; serve.</t>
  </si>
  <si>
    <t xml:space="preserve">Verba, não é item de gráfica.</t>
  </si>
  <si>
    <t xml:space="preserve">Total</t>
  </si>
  <si>
    <t xml:space="preserve">Banner Printing — o que foi cotado × o que o plano precisa</t>
  </si>
  <si>
    <t xml:space="preserve">E-mail de Declan (Banner Printing, Clondalkin), 24/09/2026 — preços unitários "plus VAT"</t>
  </si>
  <si>
    <t xml:space="preserve">Item na cotação</t>
  </si>
  <si>
    <t xml:space="preserve">Qtd cotada</t>
  </si>
  <si>
    <t xml:space="preserve">Unit. (s/ IVA)</t>
  </si>
  <si>
    <t xml:space="preserve">Total cotado</t>
  </si>
  <si>
    <t xml:space="preserve">Corresponde a</t>
  </si>
  <si>
    <t xml:space="preserve">Qtd correta</t>
  </si>
  <si>
    <t xml:space="preserve">Total corrigido</t>
  </si>
  <si>
    <t xml:space="preserve">Fence Banner 2080 × 820 mm, MESH PVC</t>
  </si>
  <si>
    <t xml:space="preserve">Quantidade certa (pela tabela do artefato; as fichas somam 11 — confirmar). Mesh recomendado pelo fornecedor por deixar o vento passar: bom para o gradil da Merrion Road e para as CCBs.</t>
  </si>
  <si>
    <t xml:space="preserve">PVC Banner 2000 × 1000 mm</t>
  </si>
  <si>
    <t xml:space="preserve">ERRO: o plano precisa de 3 (parede leste do Hall 2, P2), não 12. As 12 vieram do número de fence banners.</t>
  </si>
  <si>
    <t xml:space="preserve">Pull up Banner 1000 × 2000 mm</t>
  </si>
  <si>
    <t xml:space="preserve">Quantidade certa (painéis das portas A, B e C).</t>
  </si>
  <si>
    <t xml:space="preserve">Pull up Banner 850 × 2000 mm</t>
  </si>
  <si>
    <t xml:space="preserve">Quantidade certa (as 16 placas de grupo).</t>
  </si>
  <si>
    <t xml:space="preserve">90 × 90 cm "Custom Banner" (PVC)</t>
  </si>
  <si>
    <t xml:space="preserve">Vinil recortado por porta (1200 × 700 mm)</t>
  </si>
  <si>
    <t xml:space="preserve">a cotar</t>
  </si>
  <si>
    <t xml:space="preserve">ERRO: não é banner. São 4 vinis adesivos recortados para vidro (letras A, B, C de 300 mm e os pictogramas da S7), 1200 × 700 mm cada, removíveis sem resíduo. Pedir preço do item certo; a linha de € 35 sai.</t>
  </si>
  <si>
    <t xml:space="preserve">Shipping</t>
  </si>
  <si>
    <t xml:space="preserve">Mantém-se (ou retirada na loja em Clondalkin, se preferirem).</t>
  </si>
  <si>
    <t xml:space="preserve">(não cotado) Placa correx 4 mm A2, 594 × 420 mm</t>
  </si>
  <si>
    <t xml:space="preserve">Saídas S2 e S8. Faltou no pedido. Snap cotou corriboard 5 mm a € 20/un — referência.</t>
  </si>
  <si>
    <t xml:space="preserve">(não cotado) Fixação: tie wraps, ganchos magnéticos, fita</t>
  </si>
  <si>
    <t xml:space="preserve">Verba de ~€ 40 no plano; compra à parte, não é item de gráfica.</t>
  </si>
  <si>
    <t xml:space="preserve">Subtotal sem IVA (só as linhas com preço)</t>
  </si>
  <si>
    <t xml:space="preserve">IVA 23%</t>
  </si>
  <si>
    <t xml:space="preserve">Total com IVA</t>
  </si>
  <si>
    <t xml:space="preserve">Fonte: e-mail de Declan, Banner Printing (Monastery Heath Green, Clondalkin, D22 WD29), 24/09/2026. Preços "each plus VAT"; IVA irlandês 23%.</t>
  </si>
  <si>
    <t xml:space="preserve">O total corrigido cobre só as linhas que o fornecedor já precificou: faltam os 4 vinis recortados, as 2 placas correx e a fixação.</t>
  </si>
  <si>
    <t xml:space="preserve">Premissa: o unitário não muda com a quantidade menor de PVC (12 → 3). Confirmar com o fornecedor.</t>
  </si>
  <si>
    <t xml:space="preserve">Snap Leeson — o que foi cotado × o que o plano precisa</t>
  </si>
  <si>
    <t xml:space="preserve">Proposta ref. 1554129 (Snap Leeson / JK Printing), 24/09/2026 — preços ex VAT</t>
  </si>
  <si>
    <t xml:space="preserve">Fence Banners, mesh, 2080 × 820 mm, hemmed &amp; eyeletted</t>
  </si>
  <si>
    <t xml:space="preserve">Quantidade certa (pela tabela do artefato; as fichas somam 11 — confirmar). Cotado como lote: 12 por € 1.320,00.</t>
  </si>
  <si>
    <t xml:space="preserve">PVC Banners 2000 × 1000 mm, hemmed &amp; eyeletted</t>
  </si>
  <si>
    <t xml:space="preserve">ERRO: o plano precisa de 3, não 12. Cotado como lote (12 por € 1.320,00); o unitário de € 110 para 3 é premissa — pedir novo preço.</t>
  </si>
  <si>
    <t xml:space="preserve">Wide Pull Up Banner 1000 × 2000 mm</t>
  </si>
  <si>
    <t xml:space="preserve">ERRO: o plano precisa de 3 (painéis das portas A, B e C); a cotação traz 1. Unitário de € 333 para 3 é premissa.</t>
  </si>
  <si>
    <t xml:space="preserve">Basic Pull Up Banners (850 × 2000, non-replaceable stands)</t>
  </si>
  <si>
    <t xml:space="preserve">Quantidade certa. Lote: 16 por € 1.440,00. Alternativa "Premium" abaixo é OU, não E.</t>
  </si>
  <si>
    <t xml:space="preserve">Premium Pull Up Banners (alternativa aos Basic)</t>
  </si>
  <si>
    <t xml:space="preserve">Pull-up 850 × 2000 mm (alternativa)</t>
  </si>
  <si>
    <t xml:space="preserve">alternativa</t>
  </si>
  <si>
    <t xml:space="preserve">Alternativa: 16 por € 2.475,00. Não entra em nenhum dos totais; se escolherem Premium, some € 1.035,00 ao subtotal.</t>
  </si>
  <si>
    <t xml:space="preserve">A2 Corriboard Signs, 5 mm, matt vinyl</t>
  </si>
  <si>
    <t xml:space="preserve">Quantidade certa (saídas S2 e S8). 5 mm em vez de 4 mm: serve.</t>
  </si>
  <si>
    <t xml:space="preserve">(não cotado) 4 × vinil recortado para vidro, 1200 × 700 mm</t>
  </si>
  <si>
    <t xml:space="preserve">Letras A, B, C de 300 mm e pictogramas da S7; removível sem resíduo. Faltou no pedido.</t>
  </si>
  <si>
    <t xml:space="preserve">Verba de ~€ 40 no plano; compra à parte.</t>
  </si>
  <si>
    <t xml:space="preserve">Fonte: proposta ref. 1554129 de Snap Leeson (JK Printing Ltd T/A Snap, 12 Sir John Rogerson's Quay, Dublin 2), Declan O'Leary, 24/09/2026. Preços ex VAT; sem linha de entrega.</t>
  </si>
  <si>
    <t xml:space="preserve">Unitários calculados a partir dos totais de lote (€ 1.320 / 12; € 1.440 / 16; € 2.475 / 16; € 40 / 2). Recalcular com lotes menores é premissa: gráficas cobram mais por unidade em tiragem menor.</t>
  </si>
  <si>
    <t xml:space="preserve">A proposta diz "print-ready PDF with crop marks and bleed": arte final é por nossa conta.</t>
  </si>
  <si>
    <t xml:space="preserve">Pedido corrigido — os três preços lado a lado (sem IVA)</t>
  </si>
  <si>
    <t xml:space="preserve">Quantidades: aba Necessidade. Helloprint IE = cotação de referência de 18/09 usada no artefato (catálogo online). Unitários em azul; vazio = não cotado.</t>
  </si>
  <si>
    <t xml:space="preserve">Modelo</t>
  </si>
  <si>
    <t xml:space="preserve">Helloprint unit.</t>
  </si>
  <si>
    <t xml:space="preserve">Helloprint total</t>
  </si>
  <si>
    <t xml:space="preserve">Banner Printing unit.</t>
  </si>
  <si>
    <t xml:space="preserve">Banner Printing total</t>
  </si>
  <si>
    <t xml:space="preserve">Snap Leeson unit.</t>
  </si>
  <si>
    <t xml:space="preserve">Snap Leeson total</t>
  </si>
  <si>
    <t xml:space="preserve">Helloprint: unitário do artefato. Snap: € 1.320 / 12.</t>
  </si>
  <si>
    <t xml:space="preserve">Helloprint: premissa do artefato (não precificada). Snap: € 1.320 / 12, premissa para 3 un.</t>
  </si>
  <si>
    <t xml:space="preserve">Premissa do artefato; nenhuma das duas gráficas cotou o item certo.</t>
  </si>
  <si>
    <t xml:space="preserve">Helloprint: € 92,58 / 3 (deduzido do total de 18/09). Snap: cotou 1 un.; premissa para 3.</t>
  </si>
  <si>
    <t xml:space="preserve">Helloprint: € 397,99 / 16 (deduzido do total de 18/09). Snap "Basic"; a "Premium" sai a € 154,69/un.</t>
  </si>
  <si>
    <t xml:space="preserve">Premissa do artefato; Banner Printing não cotou; Snap: corriboard 5 mm.</t>
  </si>
  <si>
    <t xml:space="preserve">Verba; compra à parte.</t>
  </si>
  <si>
    <t xml:space="preserve">Helloprint: Saver grátis (28/09). Banner Printing: € 15. Snap: não informou.</t>
  </si>
  <si>
    <t xml:space="preserve">Subtotal sem IVA (linhas com preço)</t>
  </si>
  <si>
    <t xml:space="preserve">Linhas sem preço nesta coluna</t>
  </si>
  <si>
    <t xml:space="preserve">Múltiplo sobre o Helloprint (só linhas com preço)</t>
  </si>
  <si>
    <t xml:space="preserve">Leitura: os subtotais não são comparáveis linha a linha porque cada coluna cobre um conjunto diferente de itens. A linha "Múltiplo" compara cada gráfica com o Helloprint só nos itens que ela precificou.</t>
  </si>
  <si>
    <t xml:space="preserve">Helloprint IE: preços de catálogo de 18/09, quatro linhas são premissa (PVC, vinil, correx, fixação) e o prazo Saver (28/09) já passou do upload de 18/09 13:30 — para entregar antes de 04/10 seria preciso reconferir prazos e frete.</t>
  </si>
  <si>
    <t xml:space="preserve">Sensibilidade: se o número certo de fence banners for 11 e não 12, tire um unitário de fence banner de cada coluna (Helloprint € 32,40; Banner Printing € 70; Snap € 110, sem IVA).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</si>
</sst>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€ &quot;#,##0.00;&quot;(€ &quot;#,##0.00\);\-"/>
    <numFmt numFmtId="166" formatCode="0"/>
    <numFmt numFmtId="167" formatCode="General"/>
    <numFmt numFmtId="168" formatCode="0%"/>
    <numFmt numFmtId="169" formatCode="0.0\×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5A627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i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42B5A"/>
        <bgColor rgb="FF333333"/>
      </patternFill>
    </fill>
    <fill>
      <patternFill patternType="solid">
        <fgColor rgb="FFE2E6E4"/>
        <bgColor rgb="FFD9EAD3"/>
      </patternFill>
    </fill>
    <fill>
      <patternFill patternType="solid">
        <fgColor rgb="FFFFF2CC"/>
        <bgColor rgb="FFFFFFFF"/>
      </patternFill>
    </fill>
    <fill>
      <patternFill patternType="solid">
        <fgColor rgb="FFD9EAD3"/>
        <bgColor rgb="FFE2E6E4"/>
      </patternFill>
    </fill>
    <fill>
      <patternFill patternType="solid">
        <fgColor rgb="FFF8D7DA"/>
        <bgColor rgb="FFE2E6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FD4"/>
      </left>
      <right style="thin">
        <color rgb="FFC9CFD4"/>
      </right>
      <top style="thin">
        <color rgb="FFC9CFD4"/>
      </top>
      <bottom style="thin">
        <color rgb="FFC9CF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FD4"/>
      <rgbColor rgb="FF808080"/>
      <rgbColor rgb="FF9999FF"/>
      <rgbColor rgb="FF993366"/>
      <rgbColor rgb="FFFFF2CC"/>
      <rgbColor rgb="FFE2E6E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A6270"/>
      <rgbColor rgb="FF969696"/>
      <rgbColor rgb="FF042B5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2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4"/>
      <c r="B4" s="4" t="s">
        <v>2</v>
      </c>
      <c r="C4" s="4" t="s">
        <v>3</v>
      </c>
      <c r="D4" s="4" t="s">
        <v>4</v>
      </c>
      <c r="E4" s="4" t="s">
        <v>5</v>
      </c>
    </row>
    <row r="5" customFormat="false" ht="26.85" hidden="false" customHeight="false" outlineLevel="0" collapsed="false">
      <c r="A5" s="5" t="s">
        <v>6</v>
      </c>
      <c r="B5" s="6" t="n">
        <f aca="false">'Banner Printing'!D13</f>
        <v>3914</v>
      </c>
      <c r="C5" s="6" t="n">
        <f aca="false">'Snap Leeson'!D13</f>
        <v>4453</v>
      </c>
      <c r="D5" s="6"/>
      <c r="E5" s="7" t="s">
        <v>7</v>
      </c>
    </row>
    <row r="6" customFormat="false" ht="15" hidden="false" customHeight="false" outlineLevel="0" collapsed="false">
      <c r="A6" s="5" t="s">
        <v>8</v>
      </c>
      <c r="B6" s="6" t="n">
        <f aca="false">'Banner Printing'!D15</f>
        <v>4814.22</v>
      </c>
      <c r="C6" s="6" t="n">
        <f aca="false">'Snap Leeson'!D15</f>
        <v>5477.19</v>
      </c>
      <c r="D6" s="6"/>
      <c r="E6" s="7"/>
    </row>
    <row r="7" customFormat="false" ht="15" hidden="false" customHeight="false" outlineLevel="0" collapsed="false">
      <c r="A7" s="8" t="s">
        <v>9</v>
      </c>
      <c r="B7" s="9" t="n">
        <f aca="false">'Banner Printing'!G13</f>
        <v>3108</v>
      </c>
      <c r="C7" s="9" t="n">
        <f aca="false">'Snap Leeson'!G13</f>
        <v>4129</v>
      </c>
      <c r="D7" s="9" t="n">
        <f aca="false">Comparativo!D13</f>
        <v>1234.37</v>
      </c>
      <c r="E7" s="10" t="s">
        <v>10</v>
      </c>
    </row>
    <row r="8" customFormat="false" ht="15" hidden="false" customHeight="false" outlineLevel="0" collapsed="false">
      <c r="A8" s="5" t="s">
        <v>11</v>
      </c>
      <c r="B8" s="6" t="n">
        <f aca="false">'Banner Printing'!G14</f>
        <v>714.84</v>
      </c>
      <c r="C8" s="6" t="n">
        <f aca="false">'Snap Leeson'!G14</f>
        <v>949.67</v>
      </c>
      <c r="D8" s="6" t="n">
        <f aca="false">Comparativo!D14</f>
        <v>283.9051</v>
      </c>
      <c r="E8" s="7"/>
    </row>
    <row r="9" customFormat="false" ht="15" hidden="false" customHeight="false" outlineLevel="0" collapsed="false">
      <c r="A9" s="8" t="s">
        <v>12</v>
      </c>
      <c r="B9" s="9" t="n">
        <f aca="false">'Banner Printing'!G15</f>
        <v>3822.84</v>
      </c>
      <c r="C9" s="9" t="n">
        <f aca="false">'Snap Leeson'!G15</f>
        <v>5078.67</v>
      </c>
      <c r="D9" s="9" t="n">
        <f aca="false">Comparativo!D15</f>
        <v>1518.2751</v>
      </c>
      <c r="E9" s="10"/>
    </row>
    <row r="10" customFormat="false" ht="15" hidden="false" customHeight="false" outlineLevel="0" collapsed="false">
      <c r="A10" s="5" t="s">
        <v>13</v>
      </c>
      <c r="B10" s="6" t="n">
        <f aca="false">'Banner Printing'!H13</f>
        <v>-806</v>
      </c>
      <c r="C10" s="6" t="n">
        <f aca="false">'Snap Leeson'!H13</f>
        <v>-324</v>
      </c>
      <c r="D10" s="6"/>
      <c r="E10" s="7" t="s">
        <v>14</v>
      </c>
    </row>
    <row r="11" customFormat="false" ht="15" hidden="false" customHeight="false" outlineLevel="0" collapsed="false">
      <c r="A11" s="5" t="s">
        <v>15</v>
      </c>
      <c r="B11" s="11" t="n">
        <f aca="false">COUNTIF('Banner Printing'!G5:G12,"a cotar")</f>
        <v>3</v>
      </c>
      <c r="C11" s="11" t="n">
        <f aca="false">COUNTIF('Snap Leeson'!G5:G12,"a cotar")</f>
        <v>2</v>
      </c>
      <c r="D11" s="11" t="n">
        <v>0</v>
      </c>
      <c r="E11" s="7" t="s">
        <v>16</v>
      </c>
    </row>
    <row r="12" customFormat="false" ht="15" hidden="false" customHeight="false" outlineLevel="0" collapsed="false">
      <c r="A12" s="2"/>
      <c r="B12" s="2"/>
      <c r="C12" s="2"/>
      <c r="D12" s="2"/>
      <c r="E12" s="2"/>
    </row>
    <row r="13" customFormat="false" ht="15" hidden="false" customHeight="false" outlineLevel="0" collapsed="false">
      <c r="A13" s="12" t="s">
        <v>17</v>
      </c>
      <c r="B13" s="2"/>
      <c r="C13" s="2"/>
      <c r="D13" s="2"/>
      <c r="E13" s="2"/>
    </row>
    <row r="14" customFormat="false" ht="15" hidden="false" customHeight="false" outlineLevel="0" collapsed="false">
      <c r="A14" s="4" t="s">
        <v>18</v>
      </c>
      <c r="B14" s="4" t="s">
        <v>19</v>
      </c>
      <c r="C14" s="4" t="s">
        <v>20</v>
      </c>
      <c r="D14" s="4" t="s">
        <v>21</v>
      </c>
      <c r="E14" s="4" t="s">
        <v>22</v>
      </c>
    </row>
    <row r="15" customFormat="false" ht="15" hidden="false" customHeight="false" outlineLevel="0" collapsed="false">
      <c r="A15" s="7" t="s">
        <v>23</v>
      </c>
      <c r="B15" s="7" t="s">
        <v>24</v>
      </c>
      <c r="C15" s="7" t="s">
        <v>25</v>
      </c>
      <c r="D15" s="7" t="s">
        <v>26</v>
      </c>
      <c r="E15" s="7" t="s">
        <v>27</v>
      </c>
    </row>
    <row r="16" customFormat="false" ht="15" hidden="false" customHeight="false" outlineLevel="0" collapsed="false">
      <c r="A16" s="7" t="s">
        <v>28</v>
      </c>
      <c r="B16" s="7" t="s">
        <v>29</v>
      </c>
      <c r="C16" s="7" t="s">
        <v>25</v>
      </c>
      <c r="D16" s="7" t="s">
        <v>30</v>
      </c>
      <c r="E16" s="7" t="s">
        <v>31</v>
      </c>
    </row>
    <row r="17" customFormat="false" ht="15" hidden="false" customHeight="false" outlineLevel="0" collapsed="false">
      <c r="A17" s="7" t="s">
        <v>32</v>
      </c>
      <c r="B17" s="7" t="s">
        <v>33</v>
      </c>
      <c r="C17" s="7" t="s">
        <v>34</v>
      </c>
      <c r="D17" s="7" t="s">
        <v>30</v>
      </c>
      <c r="E17" s="7" t="s">
        <v>35</v>
      </c>
    </row>
    <row r="18" customFormat="false" ht="26.85" hidden="false" customHeight="false" outlineLevel="0" collapsed="false">
      <c r="A18" s="7" t="s">
        <v>36</v>
      </c>
      <c r="B18" s="7" t="s">
        <v>37</v>
      </c>
      <c r="C18" s="7" t="s">
        <v>38</v>
      </c>
      <c r="D18" s="7" t="s">
        <v>39</v>
      </c>
      <c r="E18" s="7" t="s">
        <v>40</v>
      </c>
    </row>
    <row r="19" customFormat="false" ht="26.85" hidden="false" customHeight="false" outlineLevel="0" collapsed="false">
      <c r="A19" s="7" t="s">
        <v>41</v>
      </c>
      <c r="B19" s="7" t="s">
        <v>42</v>
      </c>
      <c r="C19" s="7" t="s">
        <v>43</v>
      </c>
      <c r="D19" s="7" t="s">
        <v>44</v>
      </c>
      <c r="E19" s="7" t="s">
        <v>45</v>
      </c>
    </row>
    <row r="20" customFormat="false" ht="15" hidden="false" customHeight="false" outlineLevel="0" collapsed="false">
      <c r="A20" s="7" t="s">
        <v>46</v>
      </c>
      <c r="B20" s="7" t="s">
        <v>43</v>
      </c>
      <c r="C20" s="7" t="s">
        <v>47</v>
      </c>
      <c r="D20" s="7" t="s">
        <v>48</v>
      </c>
      <c r="E20" s="7" t="s">
        <v>49</v>
      </c>
    </row>
    <row r="21" customFormat="false" ht="15" hidden="false" customHeight="false" outlineLevel="0" collapsed="false">
      <c r="A21" s="7" t="s">
        <v>50</v>
      </c>
      <c r="B21" s="7" t="s">
        <v>43</v>
      </c>
      <c r="C21" s="7" t="s">
        <v>43</v>
      </c>
      <c r="D21" s="7" t="s">
        <v>51</v>
      </c>
      <c r="E21" s="7" t="s">
        <v>52</v>
      </c>
    </row>
    <row r="22" customFormat="false" ht="15" hidden="false" customHeight="false" outlineLevel="0" collapsed="false">
      <c r="A22" s="7" t="s">
        <v>53</v>
      </c>
      <c r="B22" s="7" t="s">
        <v>54</v>
      </c>
      <c r="C22" s="7" t="s">
        <v>55</v>
      </c>
      <c r="D22" s="7" t="s">
        <v>56</v>
      </c>
      <c r="E22" s="7" t="s">
        <v>57</v>
      </c>
    </row>
    <row r="23" customFormat="false" ht="15" hidden="false" customHeight="false" outlineLevel="0" collapsed="false">
      <c r="A23" s="2"/>
      <c r="B23" s="2"/>
      <c r="C23" s="2"/>
      <c r="D23" s="2"/>
      <c r="E23" s="2"/>
    </row>
    <row r="24" customFormat="false" ht="15" hidden="false" customHeight="false" outlineLevel="0" collapsed="false">
      <c r="A24" s="12" t="s">
        <v>58</v>
      </c>
      <c r="B24" s="2"/>
      <c r="C24" s="2"/>
      <c r="D24" s="2"/>
      <c r="E24" s="2"/>
    </row>
    <row r="25" customFormat="false" ht="31.5" hidden="false" customHeight="true" outlineLevel="0" collapsed="false">
      <c r="A25" s="13" t="s">
        <v>59</v>
      </c>
      <c r="B25" s="13"/>
      <c r="C25" s="13"/>
      <c r="D25" s="13"/>
      <c r="E25" s="13"/>
    </row>
    <row r="26" customFormat="false" ht="31.5" hidden="false" customHeight="true" outlineLevel="0" collapsed="false">
      <c r="A26" s="13" t="s">
        <v>60</v>
      </c>
      <c r="B26" s="13"/>
      <c r="C26" s="13"/>
      <c r="D26" s="13"/>
      <c r="E26" s="13"/>
    </row>
    <row r="27" customFormat="false" ht="31.5" hidden="false" customHeight="true" outlineLevel="0" collapsed="false">
      <c r="A27" s="13" t="s">
        <v>61</v>
      </c>
      <c r="B27" s="13"/>
      <c r="C27" s="13"/>
      <c r="D27" s="13"/>
      <c r="E27" s="13"/>
    </row>
    <row r="28" customFormat="false" ht="31.5" hidden="false" customHeight="true" outlineLevel="0" collapsed="false">
      <c r="A28" s="13" t="s">
        <v>62</v>
      </c>
      <c r="B28" s="13"/>
      <c r="C28" s="13"/>
      <c r="D28" s="13"/>
      <c r="E28" s="13"/>
    </row>
    <row r="29" customFormat="false" ht="31.5" hidden="false" customHeight="true" outlineLevel="0" collapsed="false">
      <c r="A29" s="13" t="s">
        <v>63</v>
      </c>
      <c r="B29" s="13"/>
      <c r="C29" s="13"/>
      <c r="D29" s="13"/>
      <c r="E29" s="13"/>
    </row>
    <row r="30" customFormat="false" ht="15" hidden="false" customHeight="false" outlineLevel="0" collapsed="false">
      <c r="A30" s="2"/>
      <c r="B30" s="2"/>
      <c r="C30" s="2"/>
      <c r="D30" s="2"/>
      <c r="E30" s="2"/>
    </row>
    <row r="31" customFormat="false" ht="15" hidden="false" customHeight="false" outlineLevel="0" collapsed="false">
      <c r="A31" s="14" t="s">
        <v>64</v>
      </c>
      <c r="B31" s="14"/>
      <c r="C31" s="14"/>
      <c r="D31" s="14"/>
      <c r="E31" s="14"/>
    </row>
  </sheetData>
  <mergeCells count="6">
    <mergeCell ref="A25:E25"/>
    <mergeCell ref="A26:E26"/>
    <mergeCell ref="A27:E27"/>
    <mergeCell ref="A28:E28"/>
    <mergeCell ref="A29:E29"/>
    <mergeCell ref="A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7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65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66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4" t="s">
        <v>67</v>
      </c>
      <c r="B4" s="4" t="s">
        <v>68</v>
      </c>
      <c r="C4" s="4" t="s">
        <v>69</v>
      </c>
      <c r="D4" s="4" t="s">
        <v>70</v>
      </c>
      <c r="E4" s="4" t="s">
        <v>71</v>
      </c>
      <c r="F4" s="4" t="s">
        <v>72</v>
      </c>
    </row>
    <row r="5" customFormat="false" ht="15" hidden="false" customHeight="false" outlineLevel="0" collapsed="false">
      <c r="A5" s="7" t="s">
        <v>73</v>
      </c>
      <c r="B5" s="7" t="s">
        <v>74</v>
      </c>
      <c r="C5" s="7" t="s">
        <v>75</v>
      </c>
      <c r="D5" s="7" t="s">
        <v>76</v>
      </c>
      <c r="E5" s="15" t="n">
        <v>2</v>
      </c>
      <c r="F5" s="7" t="s">
        <v>77</v>
      </c>
    </row>
    <row r="6" customFormat="false" ht="15" hidden="false" customHeight="false" outlineLevel="0" collapsed="false">
      <c r="A6" s="7" t="s">
        <v>73</v>
      </c>
      <c r="B6" s="7" t="s">
        <v>78</v>
      </c>
      <c r="C6" s="7" t="s">
        <v>75</v>
      </c>
      <c r="D6" s="7" t="s">
        <v>76</v>
      </c>
      <c r="E6" s="15" t="n">
        <v>2</v>
      </c>
      <c r="F6" s="7" t="s">
        <v>79</v>
      </c>
    </row>
    <row r="7" customFormat="false" ht="15" hidden="false" customHeight="false" outlineLevel="0" collapsed="false">
      <c r="A7" s="7" t="s">
        <v>80</v>
      </c>
      <c r="B7" s="7" t="s">
        <v>81</v>
      </c>
      <c r="C7" s="7" t="s">
        <v>75</v>
      </c>
      <c r="D7" s="7" t="s">
        <v>76</v>
      </c>
      <c r="E7" s="15" t="n">
        <v>1</v>
      </c>
      <c r="F7" s="7" t="s">
        <v>82</v>
      </c>
    </row>
    <row r="8" customFormat="false" ht="15" hidden="false" customHeight="false" outlineLevel="0" collapsed="false">
      <c r="A8" s="7" t="s">
        <v>83</v>
      </c>
      <c r="B8" s="7" t="s">
        <v>84</v>
      </c>
      <c r="C8" s="7" t="s">
        <v>28</v>
      </c>
      <c r="D8" s="7" t="s">
        <v>85</v>
      </c>
      <c r="E8" s="15" t="n">
        <v>3</v>
      </c>
      <c r="F8" s="7" t="s">
        <v>86</v>
      </c>
    </row>
    <row r="9" customFormat="false" ht="15" hidden="false" customHeight="false" outlineLevel="0" collapsed="false">
      <c r="A9" s="7" t="s">
        <v>87</v>
      </c>
      <c r="B9" s="7" t="s">
        <v>88</v>
      </c>
      <c r="C9" s="7" t="s">
        <v>75</v>
      </c>
      <c r="D9" s="7" t="s">
        <v>76</v>
      </c>
      <c r="E9" s="15" t="n">
        <v>1</v>
      </c>
      <c r="F9" s="7" t="s">
        <v>89</v>
      </c>
    </row>
    <row r="10" customFormat="false" ht="15" hidden="false" customHeight="false" outlineLevel="0" collapsed="false">
      <c r="A10" s="7" t="s">
        <v>90</v>
      </c>
      <c r="B10" s="7" t="s">
        <v>91</v>
      </c>
      <c r="C10" s="7" t="s">
        <v>75</v>
      </c>
      <c r="D10" s="7" t="s">
        <v>76</v>
      </c>
      <c r="E10" s="15" t="n">
        <v>1</v>
      </c>
      <c r="F10" s="7" t="s">
        <v>92</v>
      </c>
    </row>
    <row r="11" customFormat="false" ht="15" hidden="false" customHeight="false" outlineLevel="0" collapsed="false">
      <c r="A11" s="7" t="s">
        <v>90</v>
      </c>
      <c r="B11" s="7" t="s">
        <v>93</v>
      </c>
      <c r="C11" s="7" t="s">
        <v>75</v>
      </c>
      <c r="D11" s="7" t="s">
        <v>76</v>
      </c>
      <c r="E11" s="15" t="n">
        <v>1</v>
      </c>
      <c r="F11" s="7" t="s">
        <v>94</v>
      </c>
    </row>
    <row r="12" customFormat="false" ht="15" hidden="false" customHeight="false" outlineLevel="0" collapsed="false">
      <c r="A12" s="7" t="s">
        <v>90</v>
      </c>
      <c r="B12" s="7" t="s">
        <v>95</v>
      </c>
      <c r="C12" s="7" t="s">
        <v>75</v>
      </c>
      <c r="D12" s="7" t="s">
        <v>76</v>
      </c>
      <c r="E12" s="15" t="n">
        <v>1</v>
      </c>
      <c r="F12" s="7" t="s">
        <v>94</v>
      </c>
    </row>
    <row r="13" customFormat="false" ht="15" hidden="false" customHeight="false" outlineLevel="0" collapsed="false">
      <c r="A13" s="7" t="s">
        <v>90</v>
      </c>
      <c r="B13" s="7" t="s">
        <v>96</v>
      </c>
      <c r="C13" s="7" t="s">
        <v>75</v>
      </c>
      <c r="D13" s="7" t="s">
        <v>76</v>
      </c>
      <c r="E13" s="15" t="n">
        <v>1</v>
      </c>
      <c r="F13" s="7" t="s">
        <v>97</v>
      </c>
    </row>
    <row r="14" customFormat="false" ht="15" hidden="false" customHeight="false" outlineLevel="0" collapsed="false">
      <c r="A14" s="7" t="s">
        <v>98</v>
      </c>
      <c r="B14" s="7" t="s">
        <v>99</v>
      </c>
      <c r="C14" s="7" t="s">
        <v>75</v>
      </c>
      <c r="D14" s="7" t="s">
        <v>76</v>
      </c>
      <c r="E14" s="15" t="n">
        <v>1</v>
      </c>
      <c r="F14" s="7" t="s">
        <v>100</v>
      </c>
    </row>
    <row r="15" customFormat="false" ht="15" hidden="false" customHeight="false" outlineLevel="0" collapsed="false">
      <c r="A15" s="7" t="s">
        <v>98</v>
      </c>
      <c r="B15" s="7" t="s">
        <v>101</v>
      </c>
      <c r="C15" s="7" t="s">
        <v>102</v>
      </c>
      <c r="D15" s="7" t="s">
        <v>103</v>
      </c>
      <c r="E15" s="15" t="n">
        <v>1</v>
      </c>
      <c r="F15" s="7" t="s">
        <v>104</v>
      </c>
    </row>
    <row r="16" customFormat="false" ht="15" hidden="false" customHeight="false" outlineLevel="0" collapsed="false">
      <c r="A16" s="7" t="s">
        <v>98</v>
      </c>
      <c r="B16" s="7" t="s">
        <v>105</v>
      </c>
      <c r="C16" s="7" t="s">
        <v>102</v>
      </c>
      <c r="D16" s="7" t="s">
        <v>103</v>
      </c>
      <c r="E16" s="15" t="n">
        <v>1</v>
      </c>
      <c r="F16" s="7" t="s">
        <v>94</v>
      </c>
    </row>
    <row r="17" customFormat="false" ht="15" hidden="false" customHeight="false" outlineLevel="0" collapsed="false">
      <c r="A17" s="7" t="s">
        <v>98</v>
      </c>
      <c r="B17" s="7" t="s">
        <v>106</v>
      </c>
      <c r="C17" s="7" t="s">
        <v>102</v>
      </c>
      <c r="D17" s="7" t="s">
        <v>103</v>
      </c>
      <c r="E17" s="15" t="n">
        <v>1</v>
      </c>
      <c r="F17" s="7" t="s">
        <v>94</v>
      </c>
    </row>
    <row r="18" customFormat="false" ht="15" hidden="false" customHeight="false" outlineLevel="0" collapsed="false">
      <c r="A18" s="7" t="s">
        <v>98</v>
      </c>
      <c r="B18" s="7" t="s">
        <v>107</v>
      </c>
      <c r="C18" s="7" t="s">
        <v>102</v>
      </c>
      <c r="D18" s="7" t="s">
        <v>103</v>
      </c>
      <c r="E18" s="15" t="n">
        <v>1</v>
      </c>
      <c r="F18" s="7" t="s">
        <v>108</v>
      </c>
    </row>
    <row r="19" customFormat="false" ht="15" hidden="false" customHeight="false" outlineLevel="0" collapsed="false">
      <c r="A19" s="7" t="s">
        <v>109</v>
      </c>
      <c r="B19" s="7" t="s">
        <v>110</v>
      </c>
      <c r="C19" s="7" t="s">
        <v>32</v>
      </c>
      <c r="D19" s="7" t="s">
        <v>111</v>
      </c>
      <c r="E19" s="15" t="n">
        <v>1</v>
      </c>
      <c r="F19" s="7" t="s">
        <v>112</v>
      </c>
    </row>
    <row r="20" customFormat="false" ht="15" hidden="false" customHeight="false" outlineLevel="0" collapsed="false">
      <c r="A20" s="7" t="s">
        <v>109</v>
      </c>
      <c r="B20" s="7" t="s">
        <v>113</v>
      </c>
      <c r="C20" s="7" t="s">
        <v>32</v>
      </c>
      <c r="D20" s="7" t="s">
        <v>111</v>
      </c>
      <c r="E20" s="15" t="n">
        <v>1</v>
      </c>
      <c r="F20" s="7" t="s">
        <v>112</v>
      </c>
    </row>
    <row r="21" customFormat="false" ht="15" hidden="false" customHeight="false" outlineLevel="0" collapsed="false">
      <c r="A21" s="7" t="s">
        <v>109</v>
      </c>
      <c r="B21" s="7" t="s">
        <v>114</v>
      </c>
      <c r="C21" s="7" t="s">
        <v>32</v>
      </c>
      <c r="D21" s="7" t="s">
        <v>111</v>
      </c>
      <c r="E21" s="15" t="n">
        <v>1</v>
      </c>
      <c r="F21" s="7" t="s">
        <v>112</v>
      </c>
    </row>
    <row r="22" customFormat="false" ht="15" hidden="false" customHeight="false" outlineLevel="0" collapsed="false">
      <c r="A22" s="7" t="s">
        <v>109</v>
      </c>
      <c r="B22" s="7" t="s">
        <v>115</v>
      </c>
      <c r="C22" s="7" t="s">
        <v>36</v>
      </c>
      <c r="D22" s="7" t="s">
        <v>116</v>
      </c>
      <c r="E22" s="15" t="n">
        <v>16</v>
      </c>
      <c r="F22" s="7" t="s">
        <v>117</v>
      </c>
    </row>
    <row r="23" customFormat="false" ht="15" hidden="false" customHeight="false" outlineLevel="0" collapsed="false">
      <c r="A23" s="7" t="s">
        <v>118</v>
      </c>
      <c r="B23" s="7" t="s">
        <v>119</v>
      </c>
      <c r="C23" s="7" t="s">
        <v>120</v>
      </c>
      <c r="D23" s="7" t="s">
        <v>121</v>
      </c>
      <c r="E23" s="15" t="n">
        <v>2</v>
      </c>
      <c r="F23" s="7" t="s">
        <v>122</v>
      </c>
    </row>
    <row r="24" customFormat="false" ht="15" hidden="false" customHeight="false" outlineLevel="0" collapsed="false">
      <c r="A24" s="7" t="s">
        <v>56</v>
      </c>
      <c r="B24" s="7" t="s">
        <v>50</v>
      </c>
      <c r="C24" s="7" t="s">
        <v>123</v>
      </c>
      <c r="D24" s="7" t="s">
        <v>56</v>
      </c>
      <c r="E24" s="15" t="n">
        <v>1</v>
      </c>
      <c r="F24" s="7" t="s">
        <v>124</v>
      </c>
    </row>
    <row r="25" customFormat="false" ht="15" hidden="false" customHeight="false" outlineLevel="0" collapsed="false">
      <c r="A25" s="8"/>
      <c r="B25" s="8" t="s">
        <v>125</v>
      </c>
      <c r="C25" s="8"/>
      <c r="D25" s="8"/>
      <c r="E25" s="8" t="n">
        <f aca="false">SUM(E5:E24)</f>
        <v>40</v>
      </c>
      <c r="F25" s="8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</row>
    <row r="27" customFormat="false" ht="15" hidden="false" customHeight="false" outlineLevel="0" collapsed="false">
      <c r="A27" s="12" t="s">
        <v>126</v>
      </c>
      <c r="B27" s="2"/>
      <c r="C27" s="2"/>
      <c r="D27" s="2"/>
      <c r="E27" s="2"/>
      <c r="F27" s="2"/>
    </row>
    <row r="28" customFormat="false" ht="26.85" hidden="false" customHeight="false" outlineLevel="0" collapsed="false">
      <c r="A28" s="4" t="s">
        <v>127</v>
      </c>
      <c r="B28" s="4" t="s">
        <v>69</v>
      </c>
      <c r="C28" s="4" t="s">
        <v>128</v>
      </c>
      <c r="D28" s="4" t="s">
        <v>129</v>
      </c>
      <c r="E28" s="4" t="s">
        <v>130</v>
      </c>
      <c r="F28" s="4" t="s">
        <v>131</v>
      </c>
    </row>
    <row r="29" customFormat="false" ht="26.85" hidden="false" customHeight="false" outlineLevel="0" collapsed="false">
      <c r="A29" s="5" t="n">
        <v>1</v>
      </c>
      <c r="B29" s="5" t="s">
        <v>75</v>
      </c>
      <c r="C29" s="16" t="n">
        <v>12</v>
      </c>
      <c r="D29" s="17" t="n">
        <f aca="false">SUMIF($C$5:$C$24,B29,$E$5:$E$24)</f>
        <v>11</v>
      </c>
      <c r="E29" s="17" t="n">
        <f aca="false">C29-D29</f>
        <v>1</v>
      </c>
      <c r="F29" s="7" t="s">
        <v>132</v>
      </c>
    </row>
    <row r="30" customFormat="false" ht="15" hidden="false" customHeight="false" outlineLevel="0" collapsed="false">
      <c r="A30" s="5" t="n">
        <v>2</v>
      </c>
      <c r="B30" s="5" t="s">
        <v>28</v>
      </c>
      <c r="C30" s="18" t="n">
        <v>3</v>
      </c>
      <c r="D30" s="5" t="n">
        <f aca="false">SUMIF($C$5:$C$24,B30,$E$5:$E$24)</f>
        <v>3</v>
      </c>
      <c r="E30" s="5" t="n">
        <f aca="false">C30-D30</f>
        <v>0</v>
      </c>
      <c r="F30" s="7"/>
    </row>
    <row r="31" customFormat="false" ht="15" hidden="false" customHeight="false" outlineLevel="0" collapsed="false">
      <c r="A31" s="5" t="n">
        <v>3</v>
      </c>
      <c r="B31" s="5" t="s">
        <v>102</v>
      </c>
      <c r="C31" s="18" t="n">
        <v>4</v>
      </c>
      <c r="D31" s="5" t="n">
        <f aca="false">SUMIF($C$5:$C$24,B31,$E$5:$E$24)</f>
        <v>4</v>
      </c>
      <c r="E31" s="5" t="n">
        <f aca="false">C31-D31</f>
        <v>0</v>
      </c>
      <c r="F31" s="7" t="s">
        <v>133</v>
      </c>
    </row>
    <row r="32" customFormat="false" ht="15" hidden="false" customHeight="false" outlineLevel="0" collapsed="false">
      <c r="A32" s="5" t="n">
        <v>4</v>
      </c>
      <c r="B32" s="5" t="s">
        <v>32</v>
      </c>
      <c r="C32" s="18" t="n">
        <v>3</v>
      </c>
      <c r="D32" s="5" t="n">
        <f aca="false">SUMIF($C$5:$C$24,B32,$E$5:$E$24)</f>
        <v>3</v>
      </c>
      <c r="E32" s="5" t="n">
        <f aca="false">C32-D32</f>
        <v>0</v>
      </c>
      <c r="F32" s="7"/>
    </row>
    <row r="33" customFormat="false" ht="15" hidden="false" customHeight="false" outlineLevel="0" collapsed="false">
      <c r="A33" s="5" t="n">
        <v>5</v>
      </c>
      <c r="B33" s="5" t="s">
        <v>36</v>
      </c>
      <c r="C33" s="18" t="n">
        <v>16</v>
      </c>
      <c r="D33" s="5" t="n">
        <f aca="false">SUMIF($C$5:$C$24,B33,$E$5:$E$24)</f>
        <v>16</v>
      </c>
      <c r="E33" s="5" t="n">
        <f aca="false">C33-D33</f>
        <v>0</v>
      </c>
      <c r="F33" s="7"/>
    </row>
    <row r="34" customFormat="false" ht="15" hidden="false" customHeight="false" outlineLevel="0" collapsed="false">
      <c r="A34" s="5" t="n">
        <v>6</v>
      </c>
      <c r="B34" s="5" t="s">
        <v>120</v>
      </c>
      <c r="C34" s="18" t="n">
        <v>2</v>
      </c>
      <c r="D34" s="5" t="n">
        <f aca="false">SUMIF($C$5:$C$24,B34,$E$5:$E$24)</f>
        <v>2</v>
      </c>
      <c r="E34" s="5" t="n">
        <f aca="false">C34-D34</f>
        <v>0</v>
      </c>
      <c r="F34" s="7" t="s">
        <v>134</v>
      </c>
    </row>
    <row r="35" customFormat="false" ht="15" hidden="false" customHeight="false" outlineLevel="0" collapsed="false">
      <c r="A35" s="5" t="n">
        <v>7</v>
      </c>
      <c r="B35" s="5" t="s">
        <v>123</v>
      </c>
      <c r="C35" s="18" t="n">
        <v>1</v>
      </c>
      <c r="D35" s="5" t="n">
        <f aca="false">SUMIF($C$5:$C$24,B35,$E$5:$E$24)</f>
        <v>1</v>
      </c>
      <c r="E35" s="5" t="n">
        <f aca="false">C35-D35</f>
        <v>0</v>
      </c>
      <c r="F35" s="7" t="s">
        <v>135</v>
      </c>
    </row>
    <row r="36" customFormat="false" ht="15" hidden="false" customHeight="false" outlineLevel="0" collapsed="false">
      <c r="A36" s="8"/>
      <c r="B36" s="8" t="s">
        <v>136</v>
      </c>
      <c r="C36" s="8" t="n">
        <f aca="false">SUM(C29:C35)</f>
        <v>41</v>
      </c>
      <c r="D36" s="8" t="n">
        <f aca="false">SUM(D29:D35)</f>
        <v>40</v>
      </c>
      <c r="E36" s="8" t="n">
        <f aca="false">SUM(E29:E35)</f>
        <v>1</v>
      </c>
      <c r="F36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1" t="s">
        <v>137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138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4" t="s">
        <v>139</v>
      </c>
      <c r="B4" s="4" t="s">
        <v>140</v>
      </c>
      <c r="C4" s="4" t="s">
        <v>141</v>
      </c>
      <c r="D4" s="4" t="s">
        <v>142</v>
      </c>
      <c r="E4" s="4" t="s">
        <v>143</v>
      </c>
      <c r="F4" s="4" t="s">
        <v>144</v>
      </c>
      <c r="G4" s="4" t="s">
        <v>145</v>
      </c>
      <c r="H4" s="4" t="s">
        <v>130</v>
      </c>
      <c r="I4" s="4" t="s">
        <v>131</v>
      </c>
    </row>
    <row r="5" customFormat="false" ht="39.55" hidden="false" customHeight="false" outlineLevel="0" collapsed="false">
      <c r="A5" s="19" t="s">
        <v>146</v>
      </c>
      <c r="B5" s="20" t="n">
        <v>12</v>
      </c>
      <c r="C5" s="21" t="n">
        <v>70</v>
      </c>
      <c r="D5" s="6" t="n">
        <f aca="false">B5*C5</f>
        <v>840</v>
      </c>
      <c r="E5" s="19" t="s">
        <v>75</v>
      </c>
      <c r="F5" s="22" t="n">
        <v>12</v>
      </c>
      <c r="G5" s="6" t="n">
        <f aca="false">IF(ISNUMBER(F5),F5*C5,"a cotar")</f>
        <v>840</v>
      </c>
      <c r="H5" s="6" t="n">
        <f aca="false">IF(ISNUMBER(G5),G5-D5,-D5)</f>
        <v>0</v>
      </c>
      <c r="I5" s="7" t="s">
        <v>147</v>
      </c>
    </row>
    <row r="6" customFormat="false" ht="26.85" hidden="false" customHeight="false" outlineLevel="0" collapsed="false">
      <c r="A6" s="23" t="s">
        <v>148</v>
      </c>
      <c r="B6" s="16" t="n">
        <v>12</v>
      </c>
      <c r="C6" s="21" t="n">
        <v>74</v>
      </c>
      <c r="D6" s="6" t="n">
        <f aca="false">B6*C6</f>
        <v>888</v>
      </c>
      <c r="E6" s="23" t="s">
        <v>28</v>
      </c>
      <c r="F6" s="17" t="n">
        <v>3</v>
      </c>
      <c r="G6" s="6" t="n">
        <f aca="false">IF(ISNUMBER(F6),F6*C6,"a cotar")</f>
        <v>222</v>
      </c>
      <c r="H6" s="6" t="n">
        <f aca="false">IF(ISNUMBER(G6),G6-D6,-D6)</f>
        <v>-666</v>
      </c>
      <c r="I6" s="7" t="s">
        <v>149</v>
      </c>
    </row>
    <row r="7" customFormat="false" ht="15" hidden="false" customHeight="false" outlineLevel="0" collapsed="false">
      <c r="A7" s="19" t="s">
        <v>150</v>
      </c>
      <c r="B7" s="20" t="n">
        <v>3</v>
      </c>
      <c r="C7" s="21" t="n">
        <v>149</v>
      </c>
      <c r="D7" s="6" t="n">
        <f aca="false">B7*C7</f>
        <v>447</v>
      </c>
      <c r="E7" s="19" t="s">
        <v>32</v>
      </c>
      <c r="F7" s="22" t="n">
        <v>3</v>
      </c>
      <c r="G7" s="6" t="n">
        <f aca="false">IF(ISNUMBER(F7),F7*C7,"a cotar")</f>
        <v>447</v>
      </c>
      <c r="H7" s="6" t="n">
        <f aca="false">IF(ISNUMBER(G7),G7-D7,-D7)</f>
        <v>0</v>
      </c>
      <c r="I7" s="7" t="s">
        <v>151</v>
      </c>
    </row>
    <row r="8" customFormat="false" ht="15" hidden="false" customHeight="false" outlineLevel="0" collapsed="false">
      <c r="A8" s="19" t="s">
        <v>152</v>
      </c>
      <c r="B8" s="20" t="n">
        <v>16</v>
      </c>
      <c r="C8" s="21" t="n">
        <v>99</v>
      </c>
      <c r="D8" s="6" t="n">
        <f aca="false">B8*C8</f>
        <v>1584</v>
      </c>
      <c r="E8" s="19" t="s">
        <v>36</v>
      </c>
      <c r="F8" s="22" t="n">
        <v>16</v>
      </c>
      <c r="G8" s="6" t="n">
        <f aca="false">IF(ISNUMBER(F8),F8*C8,"a cotar")</f>
        <v>1584</v>
      </c>
      <c r="H8" s="6" t="n">
        <f aca="false">IF(ISNUMBER(G8),G8-D8,-D8)</f>
        <v>0</v>
      </c>
      <c r="I8" s="7" t="s">
        <v>153</v>
      </c>
    </row>
    <row r="9" customFormat="false" ht="39.55" hidden="false" customHeight="false" outlineLevel="0" collapsed="false">
      <c r="A9" s="23" t="s">
        <v>154</v>
      </c>
      <c r="B9" s="16" t="n">
        <v>4</v>
      </c>
      <c r="C9" s="21" t="n">
        <v>35</v>
      </c>
      <c r="D9" s="6" t="n">
        <f aca="false">B9*C9</f>
        <v>140</v>
      </c>
      <c r="E9" s="23" t="s">
        <v>155</v>
      </c>
      <c r="F9" s="17" t="s">
        <v>156</v>
      </c>
      <c r="G9" s="6" t="str">
        <f aca="false">IF(ISNUMBER(F9),F9*C9,"a cotar")</f>
        <v>a cotar</v>
      </c>
      <c r="H9" s="6" t="n">
        <f aca="false">IF(ISNUMBER(G9),G9-D9,-D9)</f>
        <v>-140</v>
      </c>
      <c r="I9" s="7" t="s">
        <v>157</v>
      </c>
    </row>
    <row r="10" customFormat="false" ht="15" hidden="false" customHeight="false" outlineLevel="0" collapsed="false">
      <c r="A10" s="7" t="s">
        <v>158</v>
      </c>
      <c r="B10" s="18" t="n">
        <v>1</v>
      </c>
      <c r="C10" s="21" t="n">
        <v>15</v>
      </c>
      <c r="D10" s="6" t="n">
        <f aca="false">B10*C10</f>
        <v>15</v>
      </c>
      <c r="E10" s="7" t="s">
        <v>53</v>
      </c>
      <c r="F10" s="5" t="n">
        <v>1</v>
      </c>
      <c r="G10" s="6" t="n">
        <f aca="false">IF(ISNUMBER(F10),F10*C10,"a cotar")</f>
        <v>15</v>
      </c>
      <c r="H10" s="6" t="n">
        <f aca="false">IF(ISNUMBER(G10),G10-D10,-D10)</f>
        <v>0</v>
      </c>
      <c r="I10" s="7" t="s">
        <v>159</v>
      </c>
    </row>
    <row r="11" customFormat="false" ht="15" hidden="false" customHeight="false" outlineLevel="0" collapsed="false">
      <c r="A11" s="24" t="s">
        <v>160</v>
      </c>
      <c r="B11" s="25" t="n">
        <v>0</v>
      </c>
      <c r="C11" s="6"/>
      <c r="D11" s="6" t="n">
        <v>0</v>
      </c>
      <c r="E11" s="26" t="s">
        <v>120</v>
      </c>
      <c r="F11" s="26" t="n">
        <v>2</v>
      </c>
      <c r="G11" s="27" t="s">
        <v>156</v>
      </c>
      <c r="H11" s="28" t="s">
        <v>156</v>
      </c>
      <c r="I11" s="7" t="s">
        <v>161</v>
      </c>
    </row>
    <row r="12" customFormat="false" ht="15" hidden="false" customHeight="false" outlineLevel="0" collapsed="false">
      <c r="A12" s="24" t="s">
        <v>162</v>
      </c>
      <c r="B12" s="25" t="n">
        <v>0</v>
      </c>
      <c r="C12" s="6"/>
      <c r="D12" s="6" t="n">
        <v>0</v>
      </c>
      <c r="E12" s="26" t="s">
        <v>123</v>
      </c>
      <c r="F12" s="26" t="n">
        <v>1</v>
      </c>
      <c r="G12" s="27" t="s">
        <v>156</v>
      </c>
      <c r="H12" s="28" t="s">
        <v>156</v>
      </c>
      <c r="I12" s="7" t="s">
        <v>163</v>
      </c>
    </row>
    <row r="13" customFormat="false" ht="15" hidden="false" customHeight="false" outlineLevel="0" collapsed="false">
      <c r="A13" s="8" t="s">
        <v>164</v>
      </c>
      <c r="B13" s="8"/>
      <c r="C13" s="8"/>
      <c r="D13" s="9" t="n">
        <f aca="false">SUM(D5:D12)</f>
        <v>3914</v>
      </c>
      <c r="E13" s="8"/>
      <c r="F13" s="8"/>
      <c r="G13" s="9" t="n">
        <f aca="false">SUM(G5:G10)</f>
        <v>3108</v>
      </c>
      <c r="H13" s="9" t="n">
        <f aca="false">G13-D13</f>
        <v>-806</v>
      </c>
      <c r="I13" s="8"/>
    </row>
    <row r="14" customFormat="false" ht="15" hidden="false" customHeight="false" outlineLevel="0" collapsed="false">
      <c r="A14" s="8" t="s">
        <v>165</v>
      </c>
      <c r="B14" s="29" t="n">
        <v>0.23</v>
      </c>
      <c r="C14" s="8"/>
      <c r="D14" s="9" t="n">
        <f aca="false">D13*$B$14</f>
        <v>900.22</v>
      </c>
      <c r="E14" s="8"/>
      <c r="F14" s="8"/>
      <c r="G14" s="9" t="n">
        <f aca="false">G13*$B$14</f>
        <v>714.84</v>
      </c>
      <c r="H14" s="9" t="n">
        <f aca="false">G14-D14</f>
        <v>-185.38</v>
      </c>
      <c r="I14" s="8"/>
    </row>
    <row r="15" customFormat="false" ht="15" hidden="false" customHeight="false" outlineLevel="0" collapsed="false">
      <c r="A15" s="8" t="s">
        <v>166</v>
      </c>
      <c r="B15" s="8"/>
      <c r="C15" s="8"/>
      <c r="D15" s="9" t="n">
        <f aca="false">D13+D14</f>
        <v>4814.22</v>
      </c>
      <c r="E15" s="8"/>
      <c r="F15" s="8"/>
      <c r="G15" s="9" t="n">
        <f aca="false">G13+G14</f>
        <v>3822.84</v>
      </c>
      <c r="H15" s="9" t="n">
        <f aca="false">G15-D15</f>
        <v>-991.38</v>
      </c>
      <c r="I15" s="8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</row>
    <row r="17" customFormat="false" ht="15" hidden="false" customHeight="false" outlineLevel="0" collapsed="false">
      <c r="A17" s="3" t="s">
        <v>167</v>
      </c>
      <c r="B17" s="2"/>
      <c r="C17" s="2"/>
      <c r="D17" s="2"/>
      <c r="E17" s="2"/>
      <c r="F17" s="2"/>
      <c r="G17" s="2"/>
      <c r="H17" s="2"/>
      <c r="I17" s="2"/>
    </row>
    <row r="18" customFormat="false" ht="15" hidden="false" customHeight="false" outlineLevel="0" collapsed="false">
      <c r="A18" s="3" t="s">
        <v>168</v>
      </c>
      <c r="B18" s="2"/>
      <c r="C18" s="2"/>
      <c r="D18" s="2"/>
      <c r="E18" s="2"/>
      <c r="F18" s="2"/>
      <c r="G18" s="2"/>
      <c r="H18" s="2"/>
      <c r="I18" s="2"/>
    </row>
    <row r="19" customFormat="false" ht="15" hidden="false" customHeight="false" outlineLevel="0" collapsed="false">
      <c r="A19" s="3" t="s">
        <v>169</v>
      </c>
      <c r="B19" s="2"/>
      <c r="C19" s="2"/>
      <c r="D19" s="2"/>
      <c r="E19" s="2"/>
      <c r="F19" s="2"/>
      <c r="G19" s="2"/>
      <c r="H19" s="2"/>
      <c r="I1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1" t="s">
        <v>170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171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4" t="s">
        <v>139</v>
      </c>
      <c r="B4" s="4" t="s">
        <v>140</v>
      </c>
      <c r="C4" s="4" t="s">
        <v>141</v>
      </c>
      <c r="D4" s="4" t="s">
        <v>142</v>
      </c>
      <c r="E4" s="4" t="s">
        <v>143</v>
      </c>
      <c r="F4" s="4" t="s">
        <v>144</v>
      </c>
      <c r="G4" s="4" t="s">
        <v>145</v>
      </c>
      <c r="H4" s="4" t="s">
        <v>130</v>
      </c>
      <c r="I4" s="4" t="s">
        <v>131</v>
      </c>
    </row>
    <row r="5" customFormat="false" ht="26.85" hidden="false" customHeight="false" outlineLevel="0" collapsed="false">
      <c r="A5" s="19" t="s">
        <v>172</v>
      </c>
      <c r="B5" s="20" t="n">
        <v>12</v>
      </c>
      <c r="C5" s="21" t="n">
        <v>110</v>
      </c>
      <c r="D5" s="6" t="n">
        <f aca="false">B5*C5</f>
        <v>1320</v>
      </c>
      <c r="E5" s="19" t="s">
        <v>75</v>
      </c>
      <c r="F5" s="22" t="n">
        <v>12</v>
      </c>
      <c r="G5" s="6" t="n">
        <f aca="false">IF(ISNUMBER(F5),F5*C5,"a cotar")</f>
        <v>1320</v>
      </c>
      <c r="H5" s="6" t="n">
        <f aca="false">IF(ISNUMBER(G5),G5-D5,-D5)</f>
        <v>0</v>
      </c>
      <c r="I5" s="7" t="s">
        <v>173</v>
      </c>
    </row>
    <row r="6" customFormat="false" ht="26.85" hidden="false" customHeight="false" outlineLevel="0" collapsed="false">
      <c r="A6" s="23" t="s">
        <v>174</v>
      </c>
      <c r="B6" s="16" t="n">
        <v>12</v>
      </c>
      <c r="C6" s="21" t="n">
        <v>110</v>
      </c>
      <c r="D6" s="6" t="n">
        <f aca="false">B6*C6</f>
        <v>1320</v>
      </c>
      <c r="E6" s="23" t="s">
        <v>28</v>
      </c>
      <c r="F6" s="17" t="n">
        <v>3</v>
      </c>
      <c r="G6" s="6" t="n">
        <f aca="false">IF(ISNUMBER(F6),F6*C6,"a cotar")</f>
        <v>330</v>
      </c>
      <c r="H6" s="6" t="n">
        <f aca="false">IF(ISNUMBER(G6),G6-D6,-D6)</f>
        <v>-990</v>
      </c>
      <c r="I6" s="7" t="s">
        <v>175</v>
      </c>
    </row>
    <row r="7" customFormat="false" ht="26.85" hidden="false" customHeight="false" outlineLevel="0" collapsed="false">
      <c r="A7" s="23" t="s">
        <v>176</v>
      </c>
      <c r="B7" s="16" t="n">
        <v>1</v>
      </c>
      <c r="C7" s="21" t="n">
        <v>333</v>
      </c>
      <c r="D7" s="6" t="n">
        <f aca="false">B7*C7</f>
        <v>333</v>
      </c>
      <c r="E7" s="23" t="s">
        <v>32</v>
      </c>
      <c r="F7" s="17" t="n">
        <v>3</v>
      </c>
      <c r="G7" s="6" t="n">
        <f aca="false">IF(ISNUMBER(F7),F7*C7,"a cotar")</f>
        <v>999</v>
      </c>
      <c r="H7" s="6" t="n">
        <f aca="false">IF(ISNUMBER(G7),G7-D7,-D7)</f>
        <v>666</v>
      </c>
      <c r="I7" s="7" t="s">
        <v>177</v>
      </c>
    </row>
    <row r="8" customFormat="false" ht="26.85" hidden="false" customHeight="false" outlineLevel="0" collapsed="false">
      <c r="A8" s="19" t="s">
        <v>178</v>
      </c>
      <c r="B8" s="20" t="n">
        <v>16</v>
      </c>
      <c r="C8" s="21" t="n">
        <v>90</v>
      </c>
      <c r="D8" s="6" t="n">
        <f aca="false">B8*C8</f>
        <v>1440</v>
      </c>
      <c r="E8" s="19" t="s">
        <v>36</v>
      </c>
      <c r="F8" s="22" t="n">
        <v>16</v>
      </c>
      <c r="G8" s="6" t="n">
        <f aca="false">IF(ISNUMBER(F8),F8*C8,"a cotar")</f>
        <v>1440</v>
      </c>
      <c r="H8" s="6" t="n">
        <f aca="false">IF(ISNUMBER(G8),G8-D8,-D8)</f>
        <v>0</v>
      </c>
      <c r="I8" s="7" t="s">
        <v>179</v>
      </c>
    </row>
    <row r="9" customFormat="false" ht="26.85" hidden="false" customHeight="false" outlineLevel="0" collapsed="false">
      <c r="A9" s="7" t="s">
        <v>180</v>
      </c>
      <c r="B9" s="18" t="n">
        <v>16</v>
      </c>
      <c r="C9" s="21" t="n">
        <v>154.6875</v>
      </c>
      <c r="D9" s="6" t="n">
        <f aca="false">B9*C9</f>
        <v>2475</v>
      </c>
      <c r="E9" s="7" t="s">
        <v>181</v>
      </c>
      <c r="F9" s="5" t="n">
        <v>0</v>
      </c>
      <c r="G9" s="6" t="n">
        <v>0</v>
      </c>
      <c r="H9" s="28" t="s">
        <v>182</v>
      </c>
      <c r="I9" s="7" t="s">
        <v>183</v>
      </c>
    </row>
    <row r="10" customFormat="false" ht="15" hidden="false" customHeight="false" outlineLevel="0" collapsed="false">
      <c r="A10" s="19" t="s">
        <v>184</v>
      </c>
      <c r="B10" s="20" t="n">
        <v>2</v>
      </c>
      <c r="C10" s="21" t="n">
        <v>20</v>
      </c>
      <c r="D10" s="6" t="n">
        <f aca="false">B10*C10</f>
        <v>40</v>
      </c>
      <c r="E10" s="19" t="s">
        <v>120</v>
      </c>
      <c r="F10" s="22" t="n">
        <v>2</v>
      </c>
      <c r="G10" s="6" t="n">
        <f aca="false">IF(ISNUMBER(F10),F10*C10,"a cotar")</f>
        <v>40</v>
      </c>
      <c r="H10" s="6" t="n">
        <f aca="false">IF(ISNUMBER(G10),G10-D10,-D10)</f>
        <v>0</v>
      </c>
      <c r="I10" s="7" t="s">
        <v>185</v>
      </c>
    </row>
    <row r="11" customFormat="false" ht="15" hidden="false" customHeight="false" outlineLevel="0" collapsed="false">
      <c r="A11" s="24" t="s">
        <v>186</v>
      </c>
      <c r="B11" s="25" t="n">
        <v>0</v>
      </c>
      <c r="C11" s="6"/>
      <c r="D11" s="6" t="n">
        <v>0</v>
      </c>
      <c r="E11" s="26" t="s">
        <v>155</v>
      </c>
      <c r="F11" s="26" t="n">
        <v>4</v>
      </c>
      <c r="G11" s="27" t="s">
        <v>156</v>
      </c>
      <c r="H11" s="28" t="s">
        <v>156</v>
      </c>
      <c r="I11" s="7" t="s">
        <v>187</v>
      </c>
    </row>
    <row r="12" customFormat="false" ht="15" hidden="false" customHeight="false" outlineLevel="0" collapsed="false">
      <c r="A12" s="24" t="s">
        <v>162</v>
      </c>
      <c r="B12" s="25" t="n">
        <v>0</v>
      </c>
      <c r="C12" s="6"/>
      <c r="D12" s="6" t="n">
        <v>0</v>
      </c>
      <c r="E12" s="26" t="s">
        <v>123</v>
      </c>
      <c r="F12" s="26" t="n">
        <v>1</v>
      </c>
      <c r="G12" s="27" t="s">
        <v>156</v>
      </c>
      <c r="H12" s="28" t="s">
        <v>156</v>
      </c>
      <c r="I12" s="7" t="s">
        <v>188</v>
      </c>
    </row>
    <row r="13" customFormat="false" ht="15" hidden="false" customHeight="false" outlineLevel="0" collapsed="false">
      <c r="A13" s="8" t="s">
        <v>164</v>
      </c>
      <c r="B13" s="8"/>
      <c r="C13" s="8"/>
      <c r="D13" s="9" t="n">
        <f aca="false">SUM(D5:D12)-D9</f>
        <v>4453</v>
      </c>
      <c r="E13" s="8"/>
      <c r="F13" s="8"/>
      <c r="G13" s="9" t="n">
        <f aca="false">SUM(G5:G10)</f>
        <v>4129</v>
      </c>
      <c r="H13" s="9" t="n">
        <f aca="false">G13-D13</f>
        <v>-324</v>
      </c>
      <c r="I13" s="8"/>
    </row>
    <row r="14" customFormat="false" ht="15" hidden="false" customHeight="false" outlineLevel="0" collapsed="false">
      <c r="A14" s="8" t="s">
        <v>165</v>
      </c>
      <c r="B14" s="29" t="n">
        <v>0.23</v>
      </c>
      <c r="C14" s="8"/>
      <c r="D14" s="9" t="n">
        <f aca="false">D13*$B$14</f>
        <v>1024.19</v>
      </c>
      <c r="E14" s="8"/>
      <c r="F14" s="8"/>
      <c r="G14" s="9" t="n">
        <f aca="false">G13*$B$14</f>
        <v>949.67</v>
      </c>
      <c r="H14" s="9" t="n">
        <f aca="false">G14-D14</f>
        <v>-74.52</v>
      </c>
      <c r="I14" s="8"/>
    </row>
    <row r="15" customFormat="false" ht="15" hidden="false" customHeight="false" outlineLevel="0" collapsed="false">
      <c r="A15" s="8" t="s">
        <v>166</v>
      </c>
      <c r="B15" s="8"/>
      <c r="C15" s="8"/>
      <c r="D15" s="9" t="n">
        <f aca="false">D13+D14</f>
        <v>5477.19</v>
      </c>
      <c r="E15" s="8"/>
      <c r="F15" s="8"/>
      <c r="G15" s="9" t="n">
        <f aca="false">G13+G14</f>
        <v>5078.67</v>
      </c>
      <c r="H15" s="9" t="n">
        <f aca="false">G15-D15</f>
        <v>-398.52</v>
      </c>
      <c r="I15" s="8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</row>
    <row r="17" customFormat="false" ht="15" hidden="false" customHeight="false" outlineLevel="0" collapsed="false">
      <c r="A17" s="3" t="s">
        <v>189</v>
      </c>
      <c r="B17" s="2"/>
      <c r="C17" s="2"/>
      <c r="D17" s="2"/>
      <c r="E17" s="2"/>
      <c r="F17" s="2"/>
      <c r="G17" s="2"/>
      <c r="H17" s="2"/>
      <c r="I17" s="2"/>
    </row>
    <row r="18" customFormat="false" ht="15" hidden="false" customHeight="false" outlineLevel="0" collapsed="false">
      <c r="A18" s="3" t="s">
        <v>190</v>
      </c>
      <c r="B18" s="2"/>
      <c r="C18" s="2"/>
      <c r="D18" s="2"/>
      <c r="E18" s="2"/>
      <c r="F18" s="2"/>
      <c r="G18" s="2"/>
      <c r="H18" s="2"/>
      <c r="I18" s="2"/>
    </row>
    <row r="19" customFormat="false" ht="15" hidden="false" customHeight="false" outlineLevel="0" collapsed="false">
      <c r="A19" s="3" t="s">
        <v>191</v>
      </c>
      <c r="B19" s="2"/>
      <c r="C19" s="2"/>
      <c r="D19" s="2"/>
      <c r="E19" s="2"/>
      <c r="F19" s="2"/>
      <c r="G19" s="2"/>
      <c r="H19" s="2"/>
      <c r="I1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8" min="7" style="0" width="14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" t="s">
        <v>192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193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26.85" hidden="false" customHeight="false" outlineLevel="0" collapsed="false">
      <c r="A4" s="4" t="s">
        <v>194</v>
      </c>
      <c r="B4" s="4" t="s">
        <v>71</v>
      </c>
      <c r="C4" s="4" t="s">
        <v>195</v>
      </c>
      <c r="D4" s="4" t="s">
        <v>196</v>
      </c>
      <c r="E4" s="4" t="s">
        <v>197</v>
      </c>
      <c r="F4" s="4" t="s">
        <v>198</v>
      </c>
      <c r="G4" s="4" t="s">
        <v>199</v>
      </c>
      <c r="H4" s="4" t="s">
        <v>200</v>
      </c>
      <c r="I4" s="4" t="s">
        <v>131</v>
      </c>
    </row>
    <row r="5" customFormat="false" ht="15" hidden="false" customHeight="false" outlineLevel="0" collapsed="false">
      <c r="A5" s="5" t="s">
        <v>75</v>
      </c>
      <c r="B5" s="5" t="n">
        <f aca="false">Necessidade!$C$29</f>
        <v>12</v>
      </c>
      <c r="C5" s="21" t="n">
        <v>32.4</v>
      </c>
      <c r="D5" s="6" t="n">
        <f aca="false">IF(ISNUMBER(C5),$B5*C5,"")</f>
        <v>388.8</v>
      </c>
      <c r="E5" s="21" t="n">
        <v>70</v>
      </c>
      <c r="F5" s="6" t="n">
        <f aca="false">IF(ISNUMBER(E5),$B5*E5,"")</f>
        <v>840</v>
      </c>
      <c r="G5" s="21" t="n">
        <v>110</v>
      </c>
      <c r="H5" s="6" t="n">
        <f aca="false">IF(ISNUMBER(G5),$B5*G5,"")</f>
        <v>1320</v>
      </c>
      <c r="I5" s="7" t="s">
        <v>201</v>
      </c>
    </row>
    <row r="6" customFormat="false" ht="26.85" hidden="false" customHeight="false" outlineLevel="0" collapsed="false">
      <c r="A6" s="5" t="s">
        <v>28</v>
      </c>
      <c r="B6" s="5" t="n">
        <f aca="false">Necessidade!$C$30</f>
        <v>3</v>
      </c>
      <c r="C6" s="21" t="n">
        <v>55</v>
      </c>
      <c r="D6" s="6" t="n">
        <f aca="false">IF(ISNUMBER(C6),$B6*C6,"")</f>
        <v>165</v>
      </c>
      <c r="E6" s="21" t="n">
        <v>74</v>
      </c>
      <c r="F6" s="6" t="n">
        <f aca="false">IF(ISNUMBER(E6),$B6*E6,"")</f>
        <v>222</v>
      </c>
      <c r="G6" s="21" t="n">
        <v>110</v>
      </c>
      <c r="H6" s="6" t="n">
        <f aca="false">IF(ISNUMBER(G6),$B6*G6,"")</f>
        <v>330</v>
      </c>
      <c r="I6" s="7" t="s">
        <v>202</v>
      </c>
    </row>
    <row r="7" customFormat="false" ht="15" hidden="false" customHeight="false" outlineLevel="0" collapsed="false">
      <c r="A7" s="5" t="s">
        <v>102</v>
      </c>
      <c r="B7" s="5" t="n">
        <f aca="false">Necessidade!$C$31</f>
        <v>4</v>
      </c>
      <c r="C7" s="21" t="n">
        <v>30</v>
      </c>
      <c r="D7" s="6" t="n">
        <f aca="false">IF(ISNUMBER(C7),$B7*C7,"")</f>
        <v>120</v>
      </c>
      <c r="E7" s="30"/>
      <c r="F7" s="31" t="str">
        <f aca="false">IF(ISNUMBER(E7),$B7*E7,"")</f>
        <v/>
      </c>
      <c r="G7" s="30"/>
      <c r="H7" s="31" t="str">
        <f aca="false">IF(ISNUMBER(G7),$B7*G7,"")</f>
        <v/>
      </c>
      <c r="I7" s="7" t="s">
        <v>203</v>
      </c>
    </row>
    <row r="8" customFormat="false" ht="26.85" hidden="false" customHeight="false" outlineLevel="0" collapsed="false">
      <c r="A8" s="5" t="s">
        <v>32</v>
      </c>
      <c r="B8" s="5" t="n">
        <f aca="false">Necessidade!$C$32</f>
        <v>3</v>
      </c>
      <c r="C8" s="21" t="n">
        <v>30.86</v>
      </c>
      <c r="D8" s="6" t="n">
        <f aca="false">IF(ISNUMBER(C8),$B8*C8,"")</f>
        <v>92.58</v>
      </c>
      <c r="E8" s="21" t="n">
        <v>149</v>
      </c>
      <c r="F8" s="6" t="n">
        <f aca="false">IF(ISNUMBER(E8),$B8*E8,"")</f>
        <v>447</v>
      </c>
      <c r="G8" s="21" t="n">
        <v>333</v>
      </c>
      <c r="H8" s="6" t="n">
        <f aca="false">IF(ISNUMBER(G8),$B8*G8,"")</f>
        <v>999</v>
      </c>
      <c r="I8" s="7" t="s">
        <v>204</v>
      </c>
    </row>
    <row r="9" customFormat="false" ht="26.85" hidden="false" customHeight="false" outlineLevel="0" collapsed="false">
      <c r="A9" s="5" t="s">
        <v>36</v>
      </c>
      <c r="B9" s="5" t="n">
        <f aca="false">Necessidade!$C$33</f>
        <v>16</v>
      </c>
      <c r="C9" s="21" t="n">
        <v>24.874375</v>
      </c>
      <c r="D9" s="6" t="n">
        <f aca="false">IF(ISNUMBER(C9),$B9*C9,"")</f>
        <v>397.99</v>
      </c>
      <c r="E9" s="21" t="n">
        <v>99</v>
      </c>
      <c r="F9" s="6" t="n">
        <f aca="false">IF(ISNUMBER(E9),$B9*E9,"")</f>
        <v>1584</v>
      </c>
      <c r="G9" s="21" t="n">
        <v>90</v>
      </c>
      <c r="H9" s="6" t="n">
        <f aca="false">IF(ISNUMBER(G9),$B9*G9,"")</f>
        <v>1440</v>
      </c>
      <c r="I9" s="7" t="s">
        <v>205</v>
      </c>
    </row>
    <row r="10" customFormat="false" ht="15" hidden="false" customHeight="false" outlineLevel="0" collapsed="false">
      <c r="A10" s="5" t="s">
        <v>120</v>
      </c>
      <c r="B10" s="5" t="n">
        <f aca="false">Necessidade!$C$34</f>
        <v>2</v>
      </c>
      <c r="C10" s="21" t="n">
        <v>15</v>
      </c>
      <c r="D10" s="6" t="n">
        <f aca="false">IF(ISNUMBER(C10),$B10*C10,"")</f>
        <v>30</v>
      </c>
      <c r="E10" s="30"/>
      <c r="F10" s="31" t="str">
        <f aca="false">IF(ISNUMBER(E10),$B10*E10,"")</f>
        <v/>
      </c>
      <c r="G10" s="21" t="n">
        <v>20</v>
      </c>
      <c r="H10" s="6" t="n">
        <f aca="false">IF(ISNUMBER(G10),$B10*G10,"")</f>
        <v>40</v>
      </c>
      <c r="I10" s="7" t="s">
        <v>206</v>
      </c>
    </row>
    <row r="11" customFormat="false" ht="15" hidden="false" customHeight="false" outlineLevel="0" collapsed="false">
      <c r="A11" s="5" t="s">
        <v>123</v>
      </c>
      <c r="B11" s="5" t="n">
        <f aca="false">Necessidade!$C$35</f>
        <v>1</v>
      </c>
      <c r="C11" s="21" t="n">
        <v>40</v>
      </c>
      <c r="D11" s="6" t="n">
        <f aca="false">IF(ISNUMBER(C11),$B11*C11,"")</f>
        <v>40</v>
      </c>
      <c r="E11" s="30"/>
      <c r="F11" s="31" t="str">
        <f aca="false">IF(ISNUMBER(E11),$B11*E11,"")</f>
        <v/>
      </c>
      <c r="G11" s="30"/>
      <c r="H11" s="31" t="str">
        <f aca="false">IF(ISNUMBER(G11),$B11*G11,"")</f>
        <v/>
      </c>
      <c r="I11" s="7" t="s">
        <v>207</v>
      </c>
    </row>
    <row r="12" customFormat="false" ht="15" hidden="false" customHeight="false" outlineLevel="0" collapsed="false">
      <c r="A12" s="5" t="s">
        <v>53</v>
      </c>
      <c r="B12" s="5" t="n">
        <v>1</v>
      </c>
      <c r="C12" s="21" t="n">
        <v>0</v>
      </c>
      <c r="D12" s="6" t="n">
        <f aca="false">IF(ISNUMBER(C12),$B12*C12,"")</f>
        <v>0</v>
      </c>
      <c r="E12" s="21" t="n">
        <v>15</v>
      </c>
      <c r="F12" s="6" t="n">
        <f aca="false">IF(ISNUMBER(E12),$B12*E12,"")</f>
        <v>15</v>
      </c>
      <c r="G12" s="30"/>
      <c r="H12" s="31" t="str">
        <f aca="false">IF(ISNUMBER(G12),$B12*G12,"")</f>
        <v/>
      </c>
      <c r="I12" s="5" t="s">
        <v>208</v>
      </c>
    </row>
    <row r="13" customFormat="false" ht="15" hidden="false" customHeight="false" outlineLevel="0" collapsed="false">
      <c r="A13" s="8" t="s">
        <v>209</v>
      </c>
      <c r="B13" s="8"/>
      <c r="C13" s="8"/>
      <c r="D13" s="9" t="n">
        <f aca="false">SUM(D5:D12)</f>
        <v>1234.37</v>
      </c>
      <c r="E13" s="8"/>
      <c r="F13" s="9" t="n">
        <f aca="false">SUM(F5:F12)</f>
        <v>3108</v>
      </c>
      <c r="G13" s="8"/>
      <c r="H13" s="9" t="n">
        <f aca="false">SUM(H5:H12)</f>
        <v>4129</v>
      </c>
      <c r="I13" s="8"/>
    </row>
    <row r="14" customFormat="false" ht="15" hidden="false" customHeight="false" outlineLevel="0" collapsed="false">
      <c r="A14" s="8" t="s">
        <v>165</v>
      </c>
      <c r="B14" s="29" t="n">
        <v>0.23</v>
      </c>
      <c r="C14" s="8"/>
      <c r="D14" s="9" t="n">
        <f aca="false">D13*$B$14</f>
        <v>283.9051</v>
      </c>
      <c r="E14" s="8"/>
      <c r="F14" s="9" t="n">
        <f aca="false">F13*$B$14</f>
        <v>714.84</v>
      </c>
      <c r="G14" s="8"/>
      <c r="H14" s="9" t="n">
        <f aca="false">H13*$B$14</f>
        <v>949.67</v>
      </c>
      <c r="I14" s="8"/>
    </row>
    <row r="15" customFormat="false" ht="15" hidden="false" customHeight="false" outlineLevel="0" collapsed="false">
      <c r="A15" s="8" t="s">
        <v>166</v>
      </c>
      <c r="B15" s="8"/>
      <c r="C15" s="8"/>
      <c r="D15" s="9" t="n">
        <f aca="false">D13+D14</f>
        <v>1518.2751</v>
      </c>
      <c r="E15" s="8"/>
      <c r="F15" s="9" t="n">
        <f aca="false">F13+F14</f>
        <v>3822.84</v>
      </c>
      <c r="G15" s="8"/>
      <c r="H15" s="9" t="n">
        <f aca="false">H13+H14</f>
        <v>5078.67</v>
      </c>
      <c r="I15" s="8"/>
    </row>
    <row r="16" customFormat="false" ht="15" hidden="false" customHeight="false" outlineLevel="0" collapsed="false">
      <c r="A16" s="32" t="s">
        <v>210</v>
      </c>
      <c r="B16" s="32"/>
      <c r="C16" s="32"/>
      <c r="D16" s="32" t="n">
        <f aca="false">COUNTBLANK(C5:C12)</f>
        <v>0</v>
      </c>
      <c r="E16" s="32"/>
      <c r="F16" s="32" t="n">
        <f aca="false">COUNTBLANK(E5:E12)</f>
        <v>3</v>
      </c>
      <c r="G16" s="32"/>
      <c r="H16" s="32" t="n">
        <f aca="false">COUNTBLANK(G5:G12)</f>
        <v>3</v>
      </c>
      <c r="I16" s="32"/>
    </row>
    <row r="17" customFormat="false" ht="15" hidden="false" customHeight="false" outlineLevel="0" collapsed="false">
      <c r="A17" s="32" t="s">
        <v>211</v>
      </c>
      <c r="B17" s="32"/>
      <c r="C17" s="32"/>
      <c r="D17" s="32"/>
      <c r="E17" s="32"/>
      <c r="F17" s="33" t="n">
        <f aca="false">IFERROR(F13/SUMPRODUCT(($B$5:$B$12)*($C$5:$C$12)*ISNUMBER(E5:E12)),"")</f>
        <v>2.97595679692063</v>
      </c>
      <c r="G17" s="32"/>
      <c r="H17" s="33" t="n">
        <f aca="false">IFERROR(H13/SUMPRODUCT(($B$5:$B$12)*($C$5:$C$12)*ISNUMBER(G5:G12)),"")</f>
        <v>3.84318251626535</v>
      </c>
      <c r="I17" s="3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</row>
    <row r="19" customFormat="false" ht="15" hidden="false" customHeight="false" outlineLevel="0" collapsed="false">
      <c r="A19" s="3" t="s">
        <v>212</v>
      </c>
      <c r="B19" s="2"/>
      <c r="C19" s="2"/>
      <c r="D19" s="2"/>
      <c r="E19" s="2"/>
      <c r="F19" s="2"/>
      <c r="G19" s="2"/>
      <c r="H19" s="2"/>
      <c r="I19" s="2"/>
    </row>
    <row r="20" customFormat="false" ht="15" hidden="false" customHeight="false" outlineLevel="0" collapsed="false">
      <c r="A20" s="3" t="s">
        <v>213</v>
      </c>
      <c r="B20" s="2"/>
      <c r="C20" s="2"/>
      <c r="D20" s="2"/>
      <c r="E20" s="2"/>
      <c r="F20" s="2"/>
      <c r="G20" s="2"/>
      <c r="H20" s="2"/>
      <c r="I20" s="2"/>
    </row>
    <row r="21" customFormat="false" ht="15" hidden="false" customHeight="false" outlineLevel="0" collapsed="false">
      <c r="A21" s="3" t="s">
        <v>214</v>
      </c>
      <c r="B21" s="2"/>
      <c r="C21" s="2"/>
      <c r="D21" s="2"/>
      <c r="E21" s="2"/>
      <c r="F21" s="2"/>
      <c r="G21" s="2"/>
      <c r="H21" s="2"/>
      <c r="I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2026-09-24T11:06:50Z</dcterms:created>
  <dc:creator>openpyxl</dc:creator>
  <dc:description/>
  <dc:language>en-US</dc:language>
  <cp:lastModifiedBy/>
  <dcterms:modified xsi:type="dcterms:W3CDTF">2026-09-24T11:06:50Z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