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Necessidade" sheetId="2" state="visible" r:id="rId4"/>
    <sheet name="Banner Printing" sheetId="3" state="visible" r:id="rId5"/>
    <sheet name="Snap Leeson" sheetId="4" state="visible" r:id="rId6"/>
    <sheet name="Helloprint 24-09" sheetId="5" state="visible" r:id="rId7"/>
    <sheet name="Vistaprint" sheetId="6" state="visible" r:id="rId8"/>
    <sheet name="Comparativo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6" authorId="0">
      <text>
        <r>
          <rPr>
            <sz val="10"/>
            <rFont val="Arial"/>
            <family val="2"/>
          </rPr>
          <t xml:space="preserve">41 itens = 40 peças + 1 verba de fixação, como na tabela do artefato.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3" authorId="0">
      <text>
        <r>
          <rPr>
            <sz val="10"/>
            <rFont val="Arial"/>
            <family val="2"/>
          </rPr>
          <t xml:space="preserve">Exclui a linha "Premium": é alternativa aos Basic, não soma.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18" authorId="0">
      <text>
        <r>
          <rPr>
            <sz val="10"/>
            <rFont val="Arial"/>
            <family val="2"/>
          </rPr>
          <t xml:space="preserve">Menos 1: a linha de fixação nunca leva preço.</t>
        </r>
      </text>
    </comment>
  </commentList>
</comments>
</file>

<file path=xl/sharedStrings.xml><?xml version="1.0" encoding="utf-8"?>
<sst xmlns="http://schemas.openxmlformats.org/spreadsheetml/2006/main" count="465" uniqueCount="321">
  <si>
    <t xml:space="preserve">Cotações de sinalização × necessidade do plano — 24/09/2026</t>
  </si>
  <si>
    <t xml:space="preserve">Eleições 2026 · Posto de Dublin · RDS Hall 2. Duas cotações recebidas e um carrinho Helloprint montado em 24/09, contra as 40 peças (+ fixação) do artefato de 23/09; Vistaprint a preencher.</t>
  </si>
  <si>
    <t xml:space="preserve">Banner Printing (e-mail)</t>
  </si>
  <si>
    <t xml:space="preserve">Snap Leeson (ref. 1554129)</t>
  </si>
  <si>
    <t xml:space="preserve">Helloprint (carrinho 24/09)</t>
  </si>
  <si>
    <t xml:space="preserve">Vistaprint.ie (a preencher)</t>
  </si>
  <si>
    <t xml:space="preserve">Nota</t>
  </si>
  <si>
    <t xml:space="preserve">Como foi cotado — subtotal sem IVA</t>
  </si>
  <si>
    <t xml:space="preserve">Snap: sem a linha Premium (alternativa aos Basic). Helloprint: carrinho de 24/09 com o desconto de € 100 e frete grátis. Vistaprint: sem cotação formal, é o catálogo online.</t>
  </si>
  <si>
    <t xml:space="preserve">Como foi cotado — total com IVA</t>
  </si>
  <si>
    <t xml:space="preserve">Pedido corrigido — subtotal sem IVA (linhas com preço)</t>
  </si>
  <si>
    <t xml:space="preserve">Só o que cada gráfica já precificou; ver linhas "a cotar". Helloprint: igual ao carrinho, porque o carrinho já é o pedido — o que falta nele (4 vinis, fixação) falta aqui também. Vistaprint fica em zero até a aba dela ser preenchida.</t>
  </si>
  <si>
    <t xml:space="preserve">Pedido corrigido — IVA 23%</t>
  </si>
  <si>
    <t xml:space="preserve">Pedido corrigido — total com IVA</t>
  </si>
  <si>
    <t xml:space="preserve">Diferença da correção (sem IVA)</t>
  </si>
  <si>
    <t xml:space="preserve">Negativo = o pedido corrigido fica mais barato do que o cotado.</t>
  </si>
  <si>
    <t xml:space="preserve">Linhas ainda por cotar</t>
  </si>
  <si>
    <t xml:space="preserve">Banner Printing: vinil, correx, fixação. Snap: vinil, fixação. Helloprint: vinil, fixação. Vistaprint: as linhas cujo preço ainda não foi colado.</t>
  </si>
  <si>
    <t xml:space="preserve">O que dizer a cada gráfica</t>
  </si>
  <si>
    <t xml:space="preserve">Item</t>
  </si>
  <si>
    <t xml:space="preserve">Banner Printing</t>
  </si>
  <si>
    <t xml:space="preserve">Snap Leeson</t>
  </si>
  <si>
    <t xml:space="preserve">Helloprint carrinho 24/09</t>
  </si>
  <si>
    <t xml:space="preserve">Certo (artefato)</t>
  </si>
  <si>
    <t xml:space="preserve">Vistaprint.ie</t>
  </si>
  <si>
    <t xml:space="preserve">O que corrigir</t>
  </si>
  <si>
    <t xml:space="preserve">Fence banner 2080 × 820 mm (mesh)</t>
  </si>
  <si>
    <t xml:space="preserve">12 × € 70</t>
  </si>
  <si>
    <t xml:space="preserve">12 × € 110 (lote € 1.320)</t>
  </si>
  <si>
    <t xml:space="preserve">12 × € 93,47 c/ IVA (RPET 208 × 82, linhas de 1)</t>
  </si>
  <si>
    <t xml:space="preserve">12 (fichas: 11)</t>
  </si>
  <si>
    <t xml:space="preserve">mesh 208 × 82 cm personalizado</t>
  </si>
  <si>
    <t xml:space="preserve">Nada a corrigir no pedido. Internamente: confirmar 12 × 11 antes de fechar. Helloprint: RPET, não mesh — conferir se serve no gradil.</t>
  </si>
  <si>
    <t xml:space="preserve">Banner PVC 2000 × 1000 mm</t>
  </si>
  <si>
    <t xml:space="preserve">12 × € 74</t>
  </si>
  <si>
    <t xml:space="preserve">3 × mesh 200 × 82 (linha de € 128,74 c/ IVA) — premissa: é a P2?</t>
  </si>
  <si>
    <t xml:space="preserve">3</t>
  </si>
  <si>
    <t xml:space="preserve">vinyl banner 100 × 200 cm</t>
  </si>
  <si>
    <t xml:space="preserve">Reduzir de 12 para 3. As 12 foram copiadas do número de fence banners. Helloprint: se os 3 mesh forem a P2, a arte (2:1) precisa ser refeita para 200 × 82.</t>
  </si>
  <si>
    <t xml:space="preserve">Pull-up 1000 × 2000 mm</t>
  </si>
  <si>
    <t xml:space="preserve">3 × € 149</t>
  </si>
  <si>
    <t xml:space="preserve">1 × € 333</t>
  </si>
  <si>
    <t xml:space="preserve">3 × € 146,36 c/ IVA (Medium)</t>
  </si>
  <si>
    <t xml:space="preserve">roller banner 100 × 200 cm</t>
  </si>
  <si>
    <t xml:space="preserve">Snap: subir de 1 para 3. Banner Printing e Helloprint estão certos.</t>
  </si>
  <si>
    <t xml:space="preserve">Pull-up 850 × 2000 mm</t>
  </si>
  <si>
    <t xml:space="preserve">16 × € 99</t>
  </si>
  <si>
    <t xml:space="preserve">16 × € 90 (Basic) ou € 154,69 (Premium)</t>
  </si>
  <si>
    <t xml:space="preserve">16 × € 104,54 c/ IVA (Small)</t>
  </si>
  <si>
    <t xml:space="preserve">16</t>
  </si>
  <si>
    <t xml:space="preserve">roller banner 85 × 200 cm</t>
  </si>
  <si>
    <t xml:space="preserve">Nada a corrigir. Snap: escolher Basic ou Premium.</t>
  </si>
  <si>
    <t xml:space="preserve">Vinil recortado para vidro 1200 × 700 mm</t>
  </si>
  <si>
    <t xml:space="preserve">4 × "90 × 90 cm custom banner" a € 35</t>
  </si>
  <si>
    <t xml:space="preserve">não cotado</t>
  </si>
  <si>
    <t xml:space="preserve">não está no carrinho</t>
  </si>
  <si>
    <t xml:space="preserve">4</t>
  </si>
  <si>
    <t xml:space="preserve">3 × window lettering (≤ 50 × 50 cm) + 1 × window decal (S7)</t>
  </si>
  <si>
    <t xml:space="preserve">Banner Printing: trocar o banner 90 × 90 por vinil adesivo recortado (letras A/B/C de 300 mm + pictogramas da S7), removível. Snap: pedir a linha. Helloprint: acrescentar ao carrinho.</t>
  </si>
  <si>
    <t xml:space="preserve">Placa correx 4 mm A2 (594 × 420)</t>
  </si>
  <si>
    <t xml:space="preserve">2 × € 20 (corriboard 5 mm)</t>
  </si>
  <si>
    <t xml:space="preserve">2 × window sticker 42 × 60 (linha de € 75,36 c/ IVA) — premissa: são as saídas?</t>
  </si>
  <si>
    <t xml:space="preserve">2</t>
  </si>
  <si>
    <t xml:space="preserve">corrugated plastic A2, 3,5 ou 5 mm</t>
  </si>
  <si>
    <t xml:space="preserve">Banner Printing: pedir a linha. Snap está certo (5 mm serve). Helloprint: adesivo no batente em vez de placa — decisão do Posto.</t>
  </si>
  <si>
    <t xml:space="preserve">Fixação (tie wraps, ímãs, fita)</t>
  </si>
  <si>
    <t xml:space="preserve">verba ~€ 40</t>
  </si>
  <si>
    <t xml:space="preserve">—</t>
  </si>
  <si>
    <t xml:space="preserve">Não é item de gráfica; comprar à parte.</t>
  </si>
  <si>
    <t xml:space="preserve">Entrega</t>
  </si>
  <si>
    <t xml:space="preserve">€ 15</t>
  </si>
  <si>
    <t xml:space="preserve">não informado</t>
  </si>
  <si>
    <t xml:space="preserve">grátis, Standard até 30/09; desconto de € 123 c/ IVA no carrinho</t>
  </si>
  <si>
    <t xml:space="preserve">no checkout (economy / standard / fast)</t>
  </si>
  <si>
    <t xml:space="preserve">Snap: perguntar frete ou retirada. Prazo: eleição em 04/10. Helloprint: pedir até 21h de 24/09 para manter as datas.</t>
  </si>
  <si>
    <t xml:space="preserve">Ressalvas</t>
  </si>
  <si>
    <t xml:space="preserve">1. Fence banners: a tabela do artefato diz 12 (10 da cotação de 18/09 + 2º P0-Consulta + Fim da avenida B) e "19 peças externas", mas as fichas peça a peça somam 11 (P0 2+2, P1, P3, P4 ×4, P5-Preferencial). Esta planilha usa 12; se for 11, tire um unitário de cada coluna.</t>
  </si>
  <si>
    <t xml:space="preserve">2. Unitários de lote (Snap) reaplicados a quantidades menores são premissa: 3 PVC e 3 pull-ups largos podem sair mais caros por unidade do que 12 e 1. Pedir a cotação refeita, não só multiplicar.</t>
  </si>
  <si>
    <t xml:space="preserve">3. Os dois totais corrigidos não incluem o vinil recortado nem a fixação; o da Banner Printing também não inclui as placas correx. Comparar só depois de as gráficas cotarem o que falta.</t>
  </si>
  <si>
    <t xml:space="preserve">4. O carrinho Helloprint de 24/09 (€ 2.694,68 sem IVA, € 3.314,46 com IVA, já com € 100 de desconto) superou a referência de 18/09 (€ 1.234,37): aquela supunha preço de tiragem para peças de arte diferente. Ainda assim fica abaixo da Banner Printing e da Snap nas linhas comparáveis (aba Comparativo, linha "Múltiplo"). Falta nele o vinil das quatro portas, e duas linhas são premissa de leitura: os 3 mesh 200 × 82 como P2 e os 2 stickers 42 × 60 como saídas.</t>
  </si>
  <si>
    <t xml:space="preserve">5. Cores e fonte: rolo azul #33507E, amarelo #E8C63A, vermelho #C8102E (proposta até o rolo chegar), Montserrat. Pedir prova de cor antes de imprimir a tiragem.</t>
  </si>
  <si>
    <t xml:space="preserve">6. Vistaprint.ie (24/09): o produto e a configuração de cada linha estão na aba Vistaprint, mas o site foi bloqueado pela política de rede do ambiente e o índice de busca não expõe preços. As células amarelas da aba recebem o preço do configurador; o comparativo e este resumo se atualizam sozinhos.</t>
  </si>
  <si>
    <t xml:space="preserve">Legenda: azul = número digitado das cotações/artefato · amarelo = a preencher ou quantidade a corrigir · vermelho = linha não cotada · verde = linha certa · verde-escuro = link para outra aba. Preços em EUR, IVA irlandês 23%.</t>
  </si>
  <si>
    <t xml:space="preserve">O que o plano de sinalização precisa (artefato "Plano de Sinalização · Posto de Dublin", rev. 23/09/2026)</t>
  </si>
  <si>
    <t xml:space="preserve">Fonte: fichas peça a peça do artefato https://claude.ai/artifact/EUNZhAFtSfUtRrLvqkvFVZ e a tabela "Onde o orçamento vai". Quantidades em azul são as do artefato.</t>
  </si>
  <si>
    <t xml:space="preserve">Ponto</t>
  </si>
  <si>
    <t xml:space="preserve">Peça</t>
  </si>
  <si>
    <t xml:space="preserve">Modelo (linha de cotação)</t>
  </si>
  <si>
    <t xml:space="preserve">Medida (mm)</t>
  </si>
  <si>
    <t xml:space="preserve">Qtd</t>
  </si>
  <si>
    <t xml:space="preserve">Fixação / observação</t>
  </si>
  <si>
    <t xml:space="preserve">P0</t>
  </si>
  <si>
    <t xml:space="preserve">Descubra sua seção (QR do TSE)</t>
  </si>
  <si>
    <t xml:space="preserve">Fence banner 2080 × 820 mm</t>
  </si>
  <si>
    <t xml:space="preserve">2080 × 820</t>
  </si>
  <si>
    <t xml:space="preserve">Calçada da Merrion Road, uma de cada lado do portão; tie wraps no gradil</t>
  </si>
  <si>
    <t xml:space="preserve">Tabela mestra na calçada</t>
  </si>
  <si>
    <t xml:space="preserve">Idem, ao lado de cada P0-Consulta</t>
  </si>
  <si>
    <t xml:space="preserve">P1</t>
  </si>
  <si>
    <t xml:space="preserve">Portão de eleitores</t>
  </si>
  <si>
    <t xml:space="preserve">Tie wraps nas grades do portão</t>
  </si>
  <si>
    <t xml:space="preserve">P2</t>
  </si>
  <si>
    <t xml:space="preserve">Lateral leste do Hall 2</t>
  </si>
  <si>
    <t xml:space="preserve">2000 × 1000</t>
  </si>
  <si>
    <t xml:space="preserve">Pendurado nas portas de serviço com ganchos magnéticos; parede abriga do vento</t>
  </si>
  <si>
    <t xml:space="preserve">P3</t>
  </si>
  <si>
    <t xml:space="preserve">Entrada do Ring 3</t>
  </si>
  <si>
    <t xml:space="preserve">Tie wraps na CCB</t>
  </si>
  <si>
    <t xml:space="preserve">P4</t>
  </si>
  <si>
    <t xml:space="preserve">Boca da zona C</t>
  </si>
  <si>
    <t xml:space="preserve">Tie wraps na CCB (cobre o painel de 2,0 m)</t>
  </si>
  <si>
    <t xml:space="preserve">Boca da zona B</t>
  </si>
  <si>
    <t xml:space="preserve">Idem</t>
  </si>
  <si>
    <t xml:space="preserve">Boca da zona A</t>
  </si>
  <si>
    <t xml:space="preserve">Fim da avenida B</t>
  </si>
  <si>
    <t xml:space="preserve">Tie wraps na última unifila da avenida B (peça de 23/09)</t>
  </si>
  <si>
    <t xml:space="preserve">P5</t>
  </si>
  <si>
    <t xml:space="preserve">Entrada preferencial</t>
  </si>
  <si>
    <t xml:space="preserve">Tie wraps no gradil do apron</t>
  </si>
  <si>
    <t xml:space="preserve">Letra da porta A no vidro</t>
  </si>
  <si>
    <t xml:space="preserve">Vinil recortado por porta</t>
  </si>
  <si>
    <t xml:space="preserve">1200 × 700</t>
  </si>
  <si>
    <t xml:space="preserve">Vinil adesivo recortado, colado no vidro, sai sem resíduo; letra de 300 mm</t>
  </si>
  <si>
    <t xml:space="preserve">Letra da porta B no vidro</t>
  </si>
  <si>
    <t xml:space="preserve">Letra da porta C no vidro</t>
  </si>
  <si>
    <t xml:space="preserve">Porta preferencial S7 no vidro</t>
  </si>
  <si>
    <t xml:space="preserve">Idem; pictogramas de 200 mm</t>
  </si>
  <si>
    <t xml:space="preserve">P6</t>
  </si>
  <si>
    <t xml:space="preserve">Painel da porta A</t>
  </si>
  <si>
    <t xml:space="preserve">1000 × 2000</t>
  </si>
  <si>
    <t xml:space="preserve">Autoportante (cassete)</t>
  </si>
  <si>
    <t xml:space="preserve">Painel da porta B</t>
  </si>
  <si>
    <t xml:space="preserve">Painel da porta C</t>
  </si>
  <si>
    <t xml:space="preserve">Placas de grupo A1–A5, B1–B5, C1–C6</t>
  </si>
  <si>
    <t xml:space="preserve">850 × 2000</t>
  </si>
  <si>
    <t xml:space="preserve">Uma por par de mesas; autoportante</t>
  </si>
  <si>
    <t xml:space="preserve">P7</t>
  </si>
  <si>
    <t xml:space="preserve">Saídas S2 e S8</t>
  </si>
  <si>
    <t xml:space="preserve">Placa correx 4 mm A2</t>
  </si>
  <si>
    <t xml:space="preserve">594 × 420</t>
  </si>
  <si>
    <t xml:space="preserve">Abraçadeira no batente / fita</t>
  </si>
  <si>
    <t xml:space="preserve">Fixação</t>
  </si>
  <si>
    <t xml:space="preserve">Verba; nenhuma das duas gráficas cotou</t>
  </si>
  <si>
    <t xml:space="preserve">Total de peças</t>
  </si>
  <si>
    <t xml:space="preserve">Resumo por linha de cotação</t>
  </si>
  <si>
    <t xml:space="preserve">#</t>
  </si>
  <si>
    <t xml:space="preserve">Qtd no artefato</t>
  </si>
  <si>
    <t xml:space="preserve">Qtd nas fichas</t>
  </si>
  <si>
    <t xml:space="preserve">Diferença</t>
  </si>
  <si>
    <t xml:space="preserve">Observação</t>
  </si>
  <si>
    <t xml:space="preserve">A tabela do artefato diz 12 (e "19 peças externas"), mas as fichas peça a peça somam 11. Confirmar antes de fechar o pedido — ver aba Resumo.</t>
  </si>
  <si>
    <t xml:space="preserve">Não é banner: é letra/pictograma em vinil adesivo recortado para vidro, 1200 × 700 mm.</t>
  </si>
  <si>
    <t xml:space="preserve">Snap cotou corriboard 5 mm; serve.</t>
  </si>
  <si>
    <t xml:space="preserve">Verba, não é item de gráfica.</t>
  </si>
  <si>
    <t xml:space="preserve">Total</t>
  </si>
  <si>
    <t xml:space="preserve">Banner Printing — o que foi cotado × o que o plano precisa</t>
  </si>
  <si>
    <t xml:space="preserve">E-mail de Declan (Banner Printing, Clondalkin), 24/09/2026 — preços unitários "plus VAT"</t>
  </si>
  <si>
    <t xml:space="preserve">Item na cotação</t>
  </si>
  <si>
    <t xml:space="preserve">Qtd cotada</t>
  </si>
  <si>
    <t xml:space="preserve">Unit. (s/ IVA)</t>
  </si>
  <si>
    <t xml:space="preserve">Total cotado</t>
  </si>
  <si>
    <t xml:space="preserve">Corresponde a</t>
  </si>
  <si>
    <t xml:space="preserve">Qtd correta</t>
  </si>
  <si>
    <t xml:space="preserve">Total corrigido</t>
  </si>
  <si>
    <t xml:space="preserve">Fence Banner 2080 × 820 mm, MESH PVC</t>
  </si>
  <si>
    <t xml:space="preserve">Quantidade certa (pela tabela do artefato; as fichas somam 11 — confirmar). Mesh recomendado pelo fornecedor por deixar o vento passar: bom para o gradil da Merrion Road e para as CCBs.</t>
  </si>
  <si>
    <t xml:space="preserve">PVC Banner 2000 × 1000 mm</t>
  </si>
  <si>
    <t xml:space="preserve">ERRO: o plano precisa de 3 (parede leste do Hall 2, P2), não 12. As 12 vieram do número de fence banners.</t>
  </si>
  <si>
    <t xml:space="preserve">Pull up Banner 1000 × 2000 mm</t>
  </si>
  <si>
    <t xml:space="preserve">Quantidade certa (painéis das portas A, B e C).</t>
  </si>
  <si>
    <t xml:space="preserve">Pull up Banner 850 × 2000 mm</t>
  </si>
  <si>
    <t xml:space="preserve">Quantidade certa (as 16 placas de grupo).</t>
  </si>
  <si>
    <t xml:space="preserve">90 × 90 cm "Custom Banner" (PVC)</t>
  </si>
  <si>
    <t xml:space="preserve">Vinil recortado por porta (1200 × 700 mm)</t>
  </si>
  <si>
    <t xml:space="preserve">a cotar</t>
  </si>
  <si>
    <t xml:space="preserve">ERRO: não é banner. São 4 vinis adesivos recortados para vidro (letras A, B, C de 300 mm e os pictogramas da S7), 1200 × 700 mm cada, removíveis sem resíduo. Pedir preço do item certo; a linha de € 35 sai.</t>
  </si>
  <si>
    <t xml:space="preserve">Shipping</t>
  </si>
  <si>
    <t xml:space="preserve">Mantém-se (ou retirada na loja em Clondalkin, se preferirem).</t>
  </si>
  <si>
    <t xml:space="preserve">(não cotado) Placa correx 4 mm A2, 594 × 420 mm</t>
  </si>
  <si>
    <t xml:space="preserve">Saídas S2 e S8. Faltou no pedido. Snap cotou corriboard 5 mm a € 20/un — referência.</t>
  </si>
  <si>
    <t xml:space="preserve">(não cotado) Fixação: tie wraps, ganchos magnéticos, fita</t>
  </si>
  <si>
    <t xml:space="preserve">Verba de ~€ 40 no plano; compra à parte, não é item de gráfica.</t>
  </si>
  <si>
    <t xml:space="preserve">Subtotal sem IVA (só as linhas com preço)</t>
  </si>
  <si>
    <t xml:space="preserve">IVA 23%</t>
  </si>
  <si>
    <t xml:space="preserve">Total com IVA</t>
  </si>
  <si>
    <t xml:space="preserve">Fonte: e-mail de Declan, Banner Printing (Monastery Heath Green, Clondalkin, D22 WD29), 24/09/2026. Preços "each plus VAT"; IVA irlandês 23%.</t>
  </si>
  <si>
    <t xml:space="preserve">O total corrigido cobre só as linhas que o fornecedor já precificou: faltam os 4 vinis recortados, as 2 placas correx e a fixação.</t>
  </si>
  <si>
    <t xml:space="preserve">Premissa: o unitário não muda com a quantidade menor de PVC (12 → 3). Confirmar com o fornecedor.</t>
  </si>
  <si>
    <t xml:space="preserve">Snap Leeson — o que foi cotado × o que o plano precisa</t>
  </si>
  <si>
    <t xml:space="preserve">Proposta ref. 1554129 (Snap Leeson / JK Printing), 24/09/2026 — preços ex VAT</t>
  </si>
  <si>
    <t xml:space="preserve">Fence Banners, mesh, 2080 × 820 mm, hemmed &amp; eyeletted</t>
  </si>
  <si>
    <t xml:space="preserve">Quantidade certa (pela tabela do artefato; as fichas somam 11 — confirmar). Cotado como lote: 12 por € 1.320,00.</t>
  </si>
  <si>
    <t xml:space="preserve">PVC Banners 2000 × 1000 mm, hemmed &amp; eyeletted</t>
  </si>
  <si>
    <t xml:space="preserve">ERRO: o plano precisa de 3, não 12. Cotado como lote (12 por € 1.320,00); o unitário de € 110 para 3 é premissa — pedir novo preço.</t>
  </si>
  <si>
    <t xml:space="preserve">Wide Pull Up Banner 1000 × 2000 mm</t>
  </si>
  <si>
    <t xml:space="preserve">ERRO: o plano precisa de 3 (painéis das portas A, B e C); a cotação traz 1. Unitário de € 333 para 3 é premissa.</t>
  </si>
  <si>
    <t xml:space="preserve">Basic Pull Up Banners (850 × 2000, non-replaceable stands)</t>
  </si>
  <si>
    <t xml:space="preserve">Quantidade certa. Lote: 16 por € 1.440,00. Alternativa "Premium" abaixo é OU, não E.</t>
  </si>
  <si>
    <t xml:space="preserve">Premium Pull Up Banners (alternativa aos Basic)</t>
  </si>
  <si>
    <t xml:space="preserve">Pull-up 850 × 2000 mm (alternativa)</t>
  </si>
  <si>
    <t xml:space="preserve">alternativa</t>
  </si>
  <si>
    <t xml:space="preserve">Alternativa: 16 por € 2.475,00. Não entra em nenhum dos totais; se escolherem Premium, some € 1.035,00 ao subtotal.</t>
  </si>
  <si>
    <t xml:space="preserve">A2 Corriboard Signs, 5 mm, matt vinyl</t>
  </si>
  <si>
    <t xml:space="preserve">Quantidade certa (saídas S2 e S8). 5 mm em vez de 4 mm: serve.</t>
  </si>
  <si>
    <t xml:space="preserve">(não cotado) 4 × vinil recortado para vidro, 1200 × 700 mm</t>
  </si>
  <si>
    <t xml:space="preserve">Letras A, B, C de 300 mm e pictogramas da S7; removível sem resíduo. Faltou no pedido.</t>
  </si>
  <si>
    <t xml:space="preserve">Verba de ~€ 40 no plano; compra à parte.</t>
  </si>
  <si>
    <t xml:space="preserve">Fonte: proposta ref. 1554129 de Snap Leeson (JK Printing Ltd T/A Snap, 12 Sir John Rogerson's Quay, Dublin 2), Declan O'Leary, 24/09/2026. Preços ex VAT; sem linha de entrega.</t>
  </si>
  <si>
    <t xml:space="preserve">Unitários calculados a partir dos totais de lote (€ 1.320 / 12; € 1.440 / 16; € 2.475 / 16; € 40 / 2). Recalcular com lotes menores é premissa: gráficas cobram mais por unidade em tiragem menor.</t>
  </si>
  <si>
    <t xml:space="preserve">A proposta diz "print-ready PDF with crop marks and bleed": arte final é por nossa conta.</t>
  </si>
  <si>
    <t xml:space="preserve">Helloprint IE — carrinho montado em 24/09/2026 (18:59), preços com IVA</t>
  </si>
  <si>
    <t xml:space="preserve">Fonte: PDF "Your Cart" (helloprint.com/en-ie/cart), 12 páginas. Cada peça entrou como linha própria de quantidade 1, porque cada uma tem arte diferente; por isso não há desconto de tiragem.</t>
  </si>
  <si>
    <t xml:space="preserve">Item no carrinho</t>
  </si>
  <si>
    <t xml:space="preserve">Configuração</t>
  </si>
  <si>
    <t xml:space="preserve">Linhas</t>
  </si>
  <si>
    <t xml:space="preserve">Qtd por linha</t>
  </si>
  <si>
    <t xml:space="preserve">Unit. com IVA (site)</t>
  </si>
  <si>
    <t xml:space="preserve">Unit. sem IVA</t>
  </si>
  <si>
    <t xml:space="preserve">Total sem IVA</t>
  </si>
  <si>
    <t xml:space="preserve">Corresponde a (plano)</t>
  </si>
  <si>
    <t xml:space="preserve">Roller Banners — Medium</t>
  </si>
  <si>
    <t xml:space="preserve">100 × 200 cm · Silver budget stand · Basic base · Standard PVC · Standard delivery by Wed 30 Sept</t>
  </si>
  <si>
    <t xml:space="preserve">Painéis das portas A, B e C. Três linhas de 1.</t>
  </si>
  <si>
    <t xml:space="preserve">Roller Banners — Small</t>
  </si>
  <si>
    <t xml:space="preserve">85 × 200 cm · Silver budget stand · Basic base · Standard PVC · Standard delivery by Wed 30 Sept</t>
  </si>
  <si>
    <t xml:space="preserve">As 16 placas de grupo. Dezesseis linhas de 1: a referência de 18/09 (€ 24,87/un) supunha 15 iguais numa linha só, o que não existe — cada placa tem arte própria.</t>
  </si>
  <si>
    <t xml:space="preserve">Standard Fence Banners</t>
  </si>
  <si>
    <t xml:space="preserve">208 × 82 cm · Recycled RPET Material · Rings every 30 cm, with hems · Banner only · Standard delivery by Tue 29 Sept</t>
  </si>
  <si>
    <t xml:space="preserve">Doze linhas de 1. RPET (110 gsm) e não o mesh: conferir opacidade e vento. Mesmo ponto da referência de 18/09: € 32,40/un supunha 10 iguais.</t>
  </si>
  <si>
    <t xml:space="preserve">Banners — Windproof Perforated Mesh</t>
  </si>
  <si>
    <t xml:space="preserve">200 × 82 cm · 1 m² · Rings every 30 cm, with hems · Without Elastic Bands · Express delivery by Tue 29 Sept</t>
  </si>
  <si>
    <t xml:space="preserve">PREMISSA: lido como a lateral leste (P2), que o plano prevê em 2000 × 1000 mm PVC. Em 200 × 82 a arte da P2 (1000 × 500 px, 2:1) não cabe sem refazer. Linha de 3 a € 128,74.</t>
  </si>
  <si>
    <t xml:space="preserve">Window stickers</t>
  </si>
  <si>
    <t xml:space="preserve">Rectangle or Square · 0,5 m² · White · 42 × 60 cm · Express delivery by Tue 29 Sept</t>
  </si>
  <si>
    <t xml:space="preserve">PREMISSA: lido como as saídas S2 e S8 (P7, A2 = 42 × 59,4 cm), em adesivo branco no lugar do correx. Linha de 2 a € 75,36. Se for outra coisa, corrigir aqui.</t>
  </si>
  <si>
    <t xml:space="preserve">Produtos</t>
  </si>
  <si>
    <t xml:space="preserve">Desconto aplicado no carrinho</t>
  </si>
  <si>
    <t xml:space="preserve">O carrinho anuncia € 100 de desconto e abate € 123,00 com IVA (= € 100 sem IVA). Conferir se vale no checkout.</t>
  </si>
  <si>
    <t xml:space="preserve">Frete</t>
  </si>
  <si>
    <t xml:space="preserve">Grátis. Entrega Standard até 30/09 (roller banners), 29/09 (fence banners); stickers e mesh em Express, 29/09. Pedido até 21h de 24/09 para essas datas.</t>
  </si>
  <si>
    <t xml:space="preserve">IVA (Irlanda)</t>
  </si>
  <si>
    <t xml:space="preserve">O carrinho informa IVA incluído de € 619,83; a conta linha a linha dá € 619,78 (arredondamento de centavos).</t>
  </si>
  <si>
    <t xml:space="preserve">Conferência: 3 × 146,36 + 16 × 104,54 + 12 × 93,47 + 128,74 + 75,36 = € 3.437,46, igual ao "Products incl. VAT" do carrinho; menos € 123,00 = € 3.314,46, igual ao "Total incl. VAT".</t>
  </si>
  <si>
    <t xml:space="preserve">O que o carrinho não tem: os 4 vinis recortados das portas (A, B, C e S7) e a fixação. O que ele tem de diferente do plano: a lateral leste em mesh 200 × 82 (não PVC 200 × 100) e as saídas em adesivo 42 × 60 (não correx A2) — as duas leituras acima são premissa desta planilha, não do carrinho.</t>
  </si>
  <si>
    <t xml:space="preserve">Por que subiu contra a referência de 18/09 (€ 1.234,37 sem IVA): aquela conta usou o preço por tiragem (10 fence banners iguais, 15 roller banners iguais) para peças que têm arte diferente. No carrinho cada arte é uma linha de 1, e o unitário é o de 1. As peças que se repetem — P0-Consulta ×2 e P0-Mestra ×2 — poderiam ir em duas linhas de 2 e ter o preço de 2; o resto não.</t>
  </si>
  <si>
    <t xml:space="preserve">Vistaprint.ie — pedido montado no catálogo, preços a preencher</t>
  </si>
  <si>
    <t xml:space="preserve">Produto e configuração conferidos no índice de busca do vistaprint.ie em 24/09/2026; o site em si está bloqueado pela rede deste ambiente, então o preço de cada linha fica em amarelo, para colar do configurador.</t>
  </si>
  <si>
    <t xml:space="preserve">Linha do plano</t>
  </si>
  <si>
    <t xml:space="preserve">Produto Vistaprint</t>
  </si>
  <si>
    <t xml:space="preserve">Configuração a escolher no site</t>
  </si>
  <si>
    <t xml:space="preserve">Página</t>
  </si>
  <si>
    <t xml:space="preserve">Preço unit. como o site mostra</t>
  </si>
  <si>
    <t xml:space="preserve">Inclui IVA? (S/N)</t>
  </si>
  <si>
    <t xml:space="preserve">Mesh banner (custom size)</t>
  </si>
  <si>
    <t xml:space="preserve">Tamanho personalizado 208 × 82 cm · poliéster 190 gsm sem PVC (uso repetido, até 2 anos) ou 115 gsm (uso curto) · ilhoses metálicos de 1,3 cm a cada 60 cm, contados automaticamente no tamanho personalizado</t>
  </si>
  <si>
    <t xml:space="preserve">https://www.vistaprint.ie/signs-posters/banners/mesh-banners</t>
  </si>
  <si>
    <t xml:space="preserve">S</t>
  </si>
  <si>
    <t xml:space="preserve">Os tamanhos de catálogo vão de 50 × 100 a 100 × 300 cm; 208 × 82 é personalizado (máximo 300 × 1200 cm). Mesh deixa o vento passar, como o Declan recomendou.</t>
  </si>
  <si>
    <t xml:space="preserve">Vinyl banner</t>
  </si>
  <si>
    <t xml:space="preserve">Tamanho de catálogo 100 × 200 cm · 10 ilhoses · 1 face</t>
  </si>
  <si>
    <t xml:space="preserve">https://www.vistaprint.ie/signs-posters/banners/vinyl-banners</t>
  </si>
  <si>
    <t xml:space="preserve">Parede leste do Hall 2 (P2), abrigada do vento: vinil sólido serve.</t>
  </si>
  <si>
    <t xml:space="preserve">Vinil recortado por porta (A, B, C)</t>
  </si>
  <si>
    <t xml:space="preserve">Window lettering</t>
  </si>
  <si>
    <t xml:space="preserve">Tamanho personalizado (o site aceita de 15 × 5 até 50 × 50 cm) · uma letra de 300 mm por porta · sem fundo visível · material UV, à prova d'água, sem PVC</t>
  </si>
  <si>
    <t xml:space="preserve">https://www.vistaprint.ie/labels-stickers/stickers/window-lettering</t>
  </si>
  <si>
    <t xml:space="preserve">O plano prevê 1200 × 700 mm por porta, mas o conteúdo é uma letra de 300 mm: cabe num lettering de 40 × 40 cm. Conferir com o Posto se a peça é só a letra. Remoção sem resíduo: confirmar na página do produto.</t>
  </si>
  <si>
    <t xml:space="preserve">Vinil da porta preferencial S7</t>
  </si>
  <si>
    <t xml:space="preserve">Window decal (opaco, removível)</t>
  </si>
  <si>
    <t xml:space="preserve">Tamanho personalizado ~120 × 30 cm para os cinco pictogramas de 200 mm (ou 2 peças de 60 × 30) · opaco · aplicação por dentro do vidro</t>
  </si>
  <si>
    <t xml:space="preserve">https://www.vistaprint.ie/signs-posters/window-decals</t>
  </si>
  <si>
    <t xml:space="preserve">O lettering para em 50 × 50 cm, por isso a S7 vai em window decal. Tamanho máximo do decal: conferir no configurador.</t>
  </si>
  <si>
    <t xml:space="preserve">Roller banner</t>
  </si>
  <si>
    <t xml:space="preserve">Tamanho 100 × 200 cm · cassete, haste, banner e bolsa incluídos · uso interno</t>
  </si>
  <si>
    <t xml:space="preserve">https://www.vistaprint.ie/signs-posters/banners/roller-banners</t>
  </si>
  <si>
    <t xml:space="preserve">Painéis das portas A, B e C.</t>
  </si>
  <si>
    <t xml:space="preserve">Tamanho 85 × 200 cm · cassete, haste, banner e bolsa incluídos · uso interno</t>
  </si>
  <si>
    <t xml:space="preserve">As 16 placas de grupo. Conferir se há desconto por quantidade no configurador.</t>
  </si>
  <si>
    <t xml:space="preserve">Corrugated plastic sign</t>
  </si>
  <si>
    <t xml:space="preserve">A2 (42 × 59,4 cm) · 3,5 mm ou 5 mm · 1 face</t>
  </si>
  <si>
    <t xml:space="preserve">https://www.vistaprint.ie/signs-posters/plastic-signs</t>
  </si>
  <si>
    <t xml:space="preserve">Saídas S2 e S8. O plano diz 4 mm; o site oferece 3,5 e 5 mm — 5 mm é o mais próximo do correx da Snap.</t>
  </si>
  <si>
    <t xml:space="preserve">Não é item da Vistaprint</t>
  </si>
  <si>
    <t xml:space="preserve">Verba de ~€ 40; tie wraps, ganchos magnéticos e fita compram-se à parte.</t>
  </si>
  <si>
    <t xml:space="preserve">Economy / Standard / Fast, escolhido no checkout; produção em 1–2 dias úteis, pedido antes das 21h CET entra no mesmo dia</t>
  </si>
  <si>
    <t xml:space="preserve">https://www.vistaprint.ie/delivery</t>
  </si>
  <si>
    <t xml:space="preserve">Eleição em 04/10: escolher a velocidade que chega até 01/10 e anotar aqui o valor do frete.</t>
  </si>
  <si>
    <t xml:space="preserve">Subtotal sem IVA (linhas preenchidas)</t>
  </si>
  <si>
    <t xml:space="preserve">Alíquota de IVA (Irlanda)</t>
  </si>
  <si>
    <t xml:space="preserve">Linhas ainda sem preço</t>
  </si>
  <si>
    <t xml:space="preserve">Como preencher: abra cada página, monte o produto com a configuração da coluna C e a quantidade da coluna E, e cole em F o preço unitário que o site mostrar. Em G, diga se o valor exibido já inclui IVA (S) ou não (N): a coluna H converte para sem IVA e o comparativo usa H.</t>
  </si>
  <si>
    <t xml:space="preserve">O que já se sabe do catálogo (índice de busca, 24/09): mesh em 190 ou 115 gsm com ilhoses a cada 60 cm e personalizado até 300 × 1200 cm; vinyl banner 100 × 200 cm com 10 ilhoses; roller banner em 85 × 200 e 100 × 200 com cassete, haste e bolsa; corrugated plastic em 3,5 e 5 mm; window lettering personalizado até 50 × 50 cm; window decals em transparente ou opaco, removíveis. Nenhum preço aparece no índice: só o configurador mostra.</t>
  </si>
  <si>
    <t xml:space="preserve">Bloqueio: www.vistaprint.ie, vistaprint.co.uk e web.archive.org foram recusados pela política de rede do ambiente em que esta planilha foi montada. Liberar o domínio nas configurações do ambiente permite preencher a coluna F automaticamente.</t>
  </si>
  <si>
    <t xml:space="preserve">Pedido corrigido — os quatro preços lado a lado (sem IVA)</t>
  </si>
  <si>
    <t xml:space="preserve">Quantidades: aba Necessidade. Helloprint = carrinho de 24/09 (aba Helloprint 24-09), sem IVA. Vistaprint = aba Vistaprint (preços a preencher). Unitários em azul; verde-escuro = link de outra aba; vazio = não cotado.</t>
  </si>
  <si>
    <t xml:space="preserve">Modelo</t>
  </si>
  <si>
    <t xml:space="preserve">Helloprint 24/09 unit.</t>
  </si>
  <si>
    <t xml:space="preserve">Helloprint 24/09 total</t>
  </si>
  <si>
    <t xml:space="preserve">Banner Printing unit.</t>
  </si>
  <si>
    <t xml:space="preserve">Banner Printing total</t>
  </si>
  <si>
    <t xml:space="preserve">Snap Leeson unit.</t>
  </si>
  <si>
    <t xml:space="preserve">Snap Leeson total</t>
  </si>
  <si>
    <t xml:space="preserve">Vistaprint unit.</t>
  </si>
  <si>
    <t xml:space="preserve">Vistaprint total</t>
  </si>
  <si>
    <t xml:space="preserve">Helloprint: RPET 208 × 82, 12 linhas de 1 (€ 93,47 c/ IVA). Snap: € 1.320 / 12. Vistaprint: mesh 208 × 82 cm personalizado. Ref. 18/09: € 32,40.</t>
  </si>
  <si>
    <t xml:space="preserve">Helloprint: PREMISSA — os 3 mesh 200 × 82 do carrinho lidos como a P2 (formato diferente). Snap: € 1.320 / 12, premissa para 3 un. Ref. 18/09: € 55.</t>
  </si>
  <si>
    <t xml:space="preserve">Não está no carrinho nem foi cotado pelas duas gráficas. Vistaprint: 3 window lettering + 1 window decal, média das 4 peças. Ref. 18/09: € 30 (premissa).</t>
  </si>
  <si>
    <t xml:space="preserve">Helloprint: Medium, 3 linhas de 1 (€ 146,36 c/ IVA). Snap: cotou 1 un.; premissa para 3. Ref. 18/09: € 30,86.</t>
  </si>
  <si>
    <t xml:space="preserve">Helloprint: Small, 16 linhas de 1 (€ 104,54 c/ IVA). Snap "Basic"; a "Premium" sai a € 154,69/un. Ref. 18/09: € 24,87.</t>
  </si>
  <si>
    <t xml:space="preserve">Helloprint: PREMISSA — os 2 window stickers 42 × 60 do carrinho lidos como as saídas. Snap: corriboard 5 mm; Vistaprint: 3,5 ou 5 mm. Ref. 18/09: € 15.</t>
  </si>
  <si>
    <t xml:space="preserve">Verba de ~€ 40; compra à parte, ninguém cota.</t>
  </si>
  <si>
    <t xml:space="preserve">Helloprint: grátis (Standard até 30/09). Banner Printing: € 15. Snap: não informou. Vistaprint: frete do checkout, aba Vistaprint.</t>
  </si>
  <si>
    <t xml:space="preserve">Desconto do carrinho</t>
  </si>
  <si>
    <t xml:space="preserve">Helloprint: € 100 sem IVA (€ 123 com IVA) aplicado no carrinho; ninguém mais ofereceu desconto. Fica fora da linha "Múltiplo".</t>
  </si>
  <si>
    <t xml:space="preserve">Subtotal sem IVA (linhas com preço)</t>
  </si>
  <si>
    <t xml:space="preserve">Linhas sem preço nesta coluna</t>
  </si>
  <si>
    <t xml:space="preserve">Múltiplo sobre o Helloprint 24/09 (só linhas que os dois precificaram, sem o desconto)</t>
  </si>
  <si>
    <t xml:space="preserve">Leitura: os subtotais não são comparáveis linha a linha porque cada coluna cobre um conjunto diferente de itens. A linha "Múltiplo" compara cada gráfica com o carrinho Helloprint só nos itens que os dois precificaram, e ignora o desconto.</t>
  </si>
  <si>
    <t xml:space="preserve">Helloprint: a coluna é o carrinho de 24/09 (aba Helloprint 24-09), com IVA retirado. A referência de 18/09 do artefato (€ 1.234,37 sem IVA) foi superada: supunha preço de tiragem para peças de arte diferente. Duas linhas do carrinho são premissa desta leitura: os 3 mesh 200 × 82 como P2 e os 2 stickers 42 × 60 como saídas.</t>
  </si>
  <si>
    <t xml:space="preserve">Vistaprint: a coluna vem da aba Vistaprint e fica vazia até os preços serem colados lá. O unitário do vinil é a média das quatro peças (3 lettering + 1 decal), para caber na linha única do plano.</t>
  </si>
  <si>
    <t xml:space="preserve">Sensibilidade: se o número certo de fence banners for 11 e não 12, tire um unitário de fence banner de cada coluna (Helloprint € 75,99; Banner Printing € 70; Snap € 110, sem IVA).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</si>
</sst>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&quot;€ &quot;#,##0.00;&quot;(€ &quot;#,##0.00\);\-"/>
    <numFmt numFmtId="166" formatCode="0"/>
    <numFmt numFmtId="167" formatCode="General"/>
    <numFmt numFmtId="168" formatCode="0%"/>
    <numFmt numFmtId="169" formatCode="0.0\×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color rgb="FF5A627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0000FF"/>
      <name val="Arial"/>
      <family val="0"/>
      <charset val="1"/>
    </font>
    <font>
      <sz val="10"/>
      <name val="Arial"/>
      <family val="2"/>
    </font>
    <font>
      <i val="true"/>
      <sz val="11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sz val="11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42B5A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E2E6E4"/>
        <bgColor rgb="FFD9EAD3"/>
      </patternFill>
    </fill>
    <fill>
      <patternFill patternType="solid">
        <fgColor rgb="FFD9EAD3"/>
        <bgColor rgb="FFE2E6E4"/>
      </patternFill>
    </fill>
    <fill>
      <patternFill patternType="solid">
        <fgColor rgb="FFF8D7DA"/>
        <bgColor rgb="FFE2E6E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FD4"/>
      </left>
      <right style="thin">
        <color rgb="FFC9CFD4"/>
      </right>
      <top style="thin">
        <color rgb="FFC9CFD4"/>
      </top>
      <bottom style="thin">
        <color rgb="FFC9CFD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CFD4"/>
      <rgbColor rgb="FF808080"/>
      <rgbColor rgb="FF9999FF"/>
      <rgbColor rgb="FF993366"/>
      <rgbColor rgb="FFFFF2CC"/>
      <rgbColor rgb="FFE2E6E4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A6270"/>
      <rgbColor rgb="FF969696"/>
      <rgbColor rgb="FF042B5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hyperlink" Target="https://www.vistaprint.ie/signs-posters/banners/mesh-banners" TargetMode="External"/><Relationship Id="rId3" Type="http://schemas.openxmlformats.org/officeDocument/2006/relationships/hyperlink" Target="https://www.vistaprint.ie/signs-posters/banners/vinyl-banners" TargetMode="External"/><Relationship Id="rId4" Type="http://schemas.openxmlformats.org/officeDocument/2006/relationships/hyperlink" Target="https://www.vistaprint.ie/labels-stickers/stickers/window-lettering" TargetMode="External"/><Relationship Id="rId5" Type="http://schemas.openxmlformats.org/officeDocument/2006/relationships/hyperlink" Target="https://www.vistaprint.ie/signs-posters/window-decals" TargetMode="External"/><Relationship Id="rId6" Type="http://schemas.openxmlformats.org/officeDocument/2006/relationships/hyperlink" Target="https://www.vistaprint.ie/signs-posters/banners/roller-banners" TargetMode="External"/><Relationship Id="rId7" Type="http://schemas.openxmlformats.org/officeDocument/2006/relationships/hyperlink" Target="https://www.vistaprint.ie/signs-posters/banners/roller-banners" TargetMode="External"/><Relationship Id="rId8" Type="http://schemas.openxmlformats.org/officeDocument/2006/relationships/hyperlink" Target="https://www.vistaprint.ie/signs-posters/plastic-signs" TargetMode="External"/><Relationship Id="rId9" Type="http://schemas.openxmlformats.org/officeDocument/2006/relationships/hyperlink" Target="https://www.vistaprint.ie/delivery" TargetMode="External"/><Relationship Id="rId10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22"/>
    <col collapsed="false" customWidth="true" hidden="false" outlineLevel="0" max="7" min="7" style="0" width="60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</row>
    <row r="4" customFormat="false" ht="15" hidden="false" customHeight="false" outlineLevel="0" collapsed="false">
      <c r="A4" s="4"/>
      <c r="B4" s="4" t="s">
        <v>2</v>
      </c>
      <c r="C4" s="4" t="s">
        <v>3</v>
      </c>
      <c r="D4" s="4" t="s">
        <v>4</v>
      </c>
      <c r="E4" s="4" t="s">
        <v>5</v>
      </c>
      <c r="F4" s="4" t="s">
        <v>6</v>
      </c>
      <c r="G4" s="2"/>
    </row>
    <row r="5" customFormat="false" ht="90.25" hidden="false" customHeight="false" outlineLevel="0" collapsed="false">
      <c r="A5" s="5" t="s">
        <v>7</v>
      </c>
      <c r="B5" s="6" t="n">
        <f aca="false">'Banner Printing'!D13</f>
        <v>3914</v>
      </c>
      <c r="C5" s="6" t="n">
        <f aca="false">'Snap Leeson'!D13</f>
        <v>4453</v>
      </c>
      <c r="D5" s="6" t="n">
        <f aca="false">'Helloprint 24-09'!H13</f>
        <v>2694.68292601626</v>
      </c>
      <c r="E5" s="7"/>
      <c r="F5" s="8" t="s">
        <v>8</v>
      </c>
      <c r="G5" s="2"/>
    </row>
    <row r="6" customFormat="false" ht="15" hidden="false" customHeight="false" outlineLevel="0" collapsed="false">
      <c r="A6" s="5" t="s">
        <v>9</v>
      </c>
      <c r="B6" s="6" t="n">
        <f aca="false">'Banner Printing'!D15</f>
        <v>4814.22</v>
      </c>
      <c r="C6" s="6" t="n">
        <f aca="false">'Snap Leeson'!D15</f>
        <v>5477.19</v>
      </c>
      <c r="D6" s="6" t="n">
        <f aca="false">'Helloprint 24-09'!F13</f>
        <v>3314.459999</v>
      </c>
      <c r="E6" s="7"/>
      <c r="F6" s="8"/>
      <c r="G6" s="2"/>
    </row>
    <row r="7" customFormat="false" ht="115.65" hidden="false" customHeight="false" outlineLevel="0" collapsed="false">
      <c r="A7" s="9" t="s">
        <v>10</v>
      </c>
      <c r="B7" s="10" t="n">
        <f aca="false">'Banner Printing'!G13</f>
        <v>3108</v>
      </c>
      <c r="C7" s="10" t="n">
        <f aca="false">'Snap Leeson'!G13</f>
        <v>4129</v>
      </c>
      <c r="D7" s="10" t="n">
        <f aca="false">Comparativo!D14</f>
        <v>2694.68292601626</v>
      </c>
      <c r="E7" s="11" t="n">
        <f aca="false">Comparativo!J14</f>
        <v>0</v>
      </c>
      <c r="F7" s="12" t="s">
        <v>11</v>
      </c>
      <c r="G7" s="2"/>
    </row>
    <row r="8" customFormat="false" ht="15" hidden="false" customHeight="false" outlineLevel="0" collapsed="false">
      <c r="A8" s="5" t="s">
        <v>12</v>
      </c>
      <c r="B8" s="6" t="n">
        <f aca="false">'Banner Printing'!G14</f>
        <v>714.84</v>
      </c>
      <c r="C8" s="6" t="n">
        <f aca="false">'Snap Leeson'!G14</f>
        <v>949.67</v>
      </c>
      <c r="D8" s="6" t="n">
        <f aca="false">Comparativo!D15</f>
        <v>619.77707298374</v>
      </c>
      <c r="E8" s="7" t="n">
        <f aca="false">Comparativo!J15</f>
        <v>0</v>
      </c>
      <c r="F8" s="8"/>
      <c r="G8" s="2"/>
    </row>
    <row r="9" customFormat="false" ht="15" hidden="false" customHeight="false" outlineLevel="0" collapsed="false">
      <c r="A9" s="9" t="s">
        <v>13</v>
      </c>
      <c r="B9" s="10" t="n">
        <f aca="false">'Banner Printing'!G15</f>
        <v>3822.84</v>
      </c>
      <c r="C9" s="10" t="n">
        <f aca="false">'Snap Leeson'!G15</f>
        <v>5078.67</v>
      </c>
      <c r="D9" s="10" t="n">
        <f aca="false">Comparativo!D16</f>
        <v>3314.459999</v>
      </c>
      <c r="E9" s="11" t="n">
        <f aca="false">Comparativo!J16</f>
        <v>0</v>
      </c>
      <c r="F9" s="12"/>
      <c r="G9" s="2"/>
    </row>
    <row r="10" customFormat="false" ht="39.55" hidden="false" customHeight="false" outlineLevel="0" collapsed="false">
      <c r="A10" s="5" t="s">
        <v>14</v>
      </c>
      <c r="B10" s="6" t="n">
        <f aca="false">'Banner Printing'!H13</f>
        <v>-806</v>
      </c>
      <c r="C10" s="6" t="n">
        <f aca="false">'Snap Leeson'!H13</f>
        <v>-324</v>
      </c>
      <c r="D10" s="6"/>
      <c r="E10" s="7"/>
      <c r="F10" s="8" t="s">
        <v>15</v>
      </c>
      <c r="G10" s="2"/>
    </row>
    <row r="11" customFormat="false" ht="64.9" hidden="false" customHeight="false" outlineLevel="0" collapsed="false">
      <c r="A11" s="5" t="s">
        <v>16</v>
      </c>
      <c r="B11" s="13" t="n">
        <f aca="false">COUNTIF('Banner Printing'!G5:G12,"a cotar")</f>
        <v>3</v>
      </c>
      <c r="C11" s="13" t="n">
        <f aca="false">COUNTIF('Snap Leeson'!G5:G12,"a cotar")</f>
        <v>2</v>
      </c>
      <c r="D11" s="13" t="n">
        <f aca="false">Comparativo!D17</f>
        <v>2</v>
      </c>
      <c r="E11" s="14" t="n">
        <f aca="false">Comparativo!J17</f>
        <v>8</v>
      </c>
      <c r="F11" s="8" t="s">
        <v>17</v>
      </c>
      <c r="G11" s="2"/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  <c r="G12" s="2"/>
    </row>
    <row r="13" customFormat="false" ht="15" hidden="false" customHeight="false" outlineLevel="0" collapsed="false">
      <c r="A13" s="15" t="s">
        <v>18</v>
      </c>
      <c r="B13" s="2"/>
      <c r="C13" s="2"/>
      <c r="D13" s="2"/>
      <c r="E13" s="2"/>
      <c r="F13" s="2"/>
      <c r="G13" s="2"/>
    </row>
    <row r="14" customFormat="false" ht="15" hidden="false" customHeight="false" outlineLevel="0" collapsed="false">
      <c r="A14" s="4" t="s">
        <v>19</v>
      </c>
      <c r="B14" s="4" t="s">
        <v>20</v>
      </c>
      <c r="C14" s="4" t="s">
        <v>21</v>
      </c>
      <c r="D14" s="4" t="s">
        <v>22</v>
      </c>
      <c r="E14" s="4" t="s">
        <v>23</v>
      </c>
      <c r="F14" s="4" t="s">
        <v>24</v>
      </c>
      <c r="G14" s="4" t="s">
        <v>25</v>
      </c>
    </row>
    <row r="15" customFormat="false" ht="26.85" hidden="false" customHeight="false" outlineLevel="0" collapsed="false">
      <c r="A15" s="8" t="s">
        <v>26</v>
      </c>
      <c r="B15" s="8" t="s">
        <v>27</v>
      </c>
      <c r="C15" s="8" t="s">
        <v>28</v>
      </c>
      <c r="D15" s="8" t="s">
        <v>29</v>
      </c>
      <c r="E15" s="8" t="s">
        <v>30</v>
      </c>
      <c r="F15" s="8" t="s">
        <v>31</v>
      </c>
      <c r="G15" s="8" t="s">
        <v>32</v>
      </c>
    </row>
    <row r="16" customFormat="false" ht="39.55" hidden="false" customHeight="false" outlineLevel="0" collapsed="false">
      <c r="A16" s="8" t="s">
        <v>33</v>
      </c>
      <c r="B16" s="8" t="s">
        <v>34</v>
      </c>
      <c r="C16" s="8" t="s">
        <v>28</v>
      </c>
      <c r="D16" s="16" t="s">
        <v>35</v>
      </c>
      <c r="E16" s="8" t="s">
        <v>36</v>
      </c>
      <c r="F16" s="8" t="s">
        <v>37</v>
      </c>
      <c r="G16" s="8" t="s">
        <v>38</v>
      </c>
    </row>
    <row r="17" customFormat="false" ht="15" hidden="false" customHeight="false" outlineLevel="0" collapsed="false">
      <c r="A17" s="8" t="s">
        <v>39</v>
      </c>
      <c r="B17" s="8" t="s">
        <v>40</v>
      </c>
      <c r="C17" s="8" t="s">
        <v>41</v>
      </c>
      <c r="D17" s="8" t="s">
        <v>42</v>
      </c>
      <c r="E17" s="8" t="s">
        <v>36</v>
      </c>
      <c r="F17" s="8" t="s">
        <v>43</v>
      </c>
      <c r="G17" s="8" t="s">
        <v>44</v>
      </c>
    </row>
    <row r="18" customFormat="false" ht="26.85" hidden="false" customHeight="false" outlineLevel="0" collapsed="false">
      <c r="A18" s="8" t="s">
        <v>45</v>
      </c>
      <c r="B18" s="8" t="s">
        <v>46</v>
      </c>
      <c r="C18" s="8" t="s">
        <v>47</v>
      </c>
      <c r="D18" s="8" t="s">
        <v>48</v>
      </c>
      <c r="E18" s="8" t="s">
        <v>49</v>
      </c>
      <c r="F18" s="8" t="s">
        <v>50</v>
      </c>
      <c r="G18" s="8" t="s">
        <v>51</v>
      </c>
    </row>
    <row r="19" customFormat="false" ht="39.55" hidden="false" customHeight="false" outlineLevel="0" collapsed="false">
      <c r="A19" s="8" t="s">
        <v>52</v>
      </c>
      <c r="B19" s="8" t="s">
        <v>53</v>
      </c>
      <c r="C19" s="8" t="s">
        <v>54</v>
      </c>
      <c r="D19" s="16" t="s">
        <v>55</v>
      </c>
      <c r="E19" s="8" t="s">
        <v>56</v>
      </c>
      <c r="F19" s="8" t="s">
        <v>57</v>
      </c>
      <c r="G19" s="8" t="s">
        <v>58</v>
      </c>
    </row>
    <row r="20" customFormat="false" ht="39.55" hidden="false" customHeight="false" outlineLevel="0" collapsed="false">
      <c r="A20" s="8" t="s">
        <v>59</v>
      </c>
      <c r="B20" s="8" t="s">
        <v>54</v>
      </c>
      <c r="C20" s="8" t="s">
        <v>60</v>
      </c>
      <c r="D20" s="16" t="s">
        <v>61</v>
      </c>
      <c r="E20" s="8" t="s">
        <v>62</v>
      </c>
      <c r="F20" s="8" t="s">
        <v>63</v>
      </c>
      <c r="G20" s="8" t="s">
        <v>64</v>
      </c>
    </row>
    <row r="21" customFormat="false" ht="15" hidden="false" customHeight="false" outlineLevel="0" collapsed="false">
      <c r="A21" s="8" t="s">
        <v>65</v>
      </c>
      <c r="B21" s="8" t="s">
        <v>54</v>
      </c>
      <c r="C21" s="8" t="s">
        <v>54</v>
      </c>
      <c r="D21" s="16" t="s">
        <v>55</v>
      </c>
      <c r="E21" s="8" t="s">
        <v>66</v>
      </c>
      <c r="F21" s="8" t="s">
        <v>67</v>
      </c>
      <c r="G21" s="8" t="s">
        <v>68</v>
      </c>
    </row>
    <row r="22" customFormat="false" ht="39.55" hidden="false" customHeight="false" outlineLevel="0" collapsed="false">
      <c r="A22" s="8" t="s">
        <v>69</v>
      </c>
      <c r="B22" s="8" t="s">
        <v>70</v>
      </c>
      <c r="C22" s="8" t="s">
        <v>71</v>
      </c>
      <c r="D22" s="8" t="s">
        <v>72</v>
      </c>
      <c r="E22" s="8" t="s">
        <v>67</v>
      </c>
      <c r="F22" s="8" t="s">
        <v>73</v>
      </c>
      <c r="G22" s="8" t="s">
        <v>74</v>
      </c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  <c r="G23" s="2"/>
    </row>
    <row r="24" customFormat="false" ht="15" hidden="false" customHeight="false" outlineLevel="0" collapsed="false">
      <c r="A24" s="15" t="s">
        <v>75</v>
      </c>
      <c r="B24" s="2"/>
      <c r="C24" s="2"/>
      <c r="D24" s="2"/>
      <c r="E24" s="2"/>
      <c r="F24" s="2"/>
      <c r="G24" s="2"/>
    </row>
    <row r="25" customFormat="false" ht="31.5" hidden="false" customHeight="true" outlineLevel="0" collapsed="false">
      <c r="A25" s="17" t="s">
        <v>76</v>
      </c>
      <c r="B25" s="17"/>
      <c r="C25" s="17"/>
      <c r="D25" s="17"/>
      <c r="E25" s="17"/>
      <c r="F25" s="17"/>
      <c r="G25" s="17"/>
    </row>
    <row r="26" customFormat="false" ht="31.5" hidden="false" customHeight="true" outlineLevel="0" collapsed="false">
      <c r="A26" s="17" t="s">
        <v>77</v>
      </c>
      <c r="B26" s="17"/>
      <c r="C26" s="17"/>
      <c r="D26" s="17"/>
      <c r="E26" s="17"/>
      <c r="F26" s="17"/>
      <c r="G26" s="17"/>
    </row>
    <row r="27" customFormat="false" ht="31.5" hidden="false" customHeight="true" outlineLevel="0" collapsed="false">
      <c r="A27" s="17" t="s">
        <v>78</v>
      </c>
      <c r="B27" s="17"/>
      <c r="C27" s="17"/>
      <c r="D27" s="17"/>
      <c r="E27" s="17"/>
      <c r="F27" s="17"/>
      <c r="G27" s="17"/>
    </row>
    <row r="28" customFormat="false" ht="31.5" hidden="false" customHeight="true" outlineLevel="0" collapsed="false">
      <c r="A28" s="17" t="s">
        <v>79</v>
      </c>
      <c r="B28" s="17"/>
      <c r="C28" s="17"/>
      <c r="D28" s="17"/>
      <c r="E28" s="17"/>
      <c r="F28" s="17"/>
      <c r="G28" s="17"/>
    </row>
    <row r="29" customFormat="false" ht="31.5" hidden="false" customHeight="true" outlineLevel="0" collapsed="false">
      <c r="A29" s="17" t="s">
        <v>80</v>
      </c>
      <c r="B29" s="17"/>
      <c r="C29" s="17"/>
      <c r="D29" s="17"/>
      <c r="E29" s="17"/>
      <c r="F29" s="17"/>
      <c r="G29" s="17"/>
    </row>
    <row r="30" customFormat="false" ht="31.5" hidden="false" customHeight="true" outlineLevel="0" collapsed="false">
      <c r="A30" s="17" t="s">
        <v>81</v>
      </c>
      <c r="B30" s="17"/>
      <c r="C30" s="17"/>
      <c r="D30" s="17"/>
      <c r="E30" s="17"/>
      <c r="F30" s="17"/>
      <c r="G30" s="17"/>
    </row>
    <row r="31" customFormat="false" ht="15" hidden="false" customHeight="false" outlineLevel="0" collapsed="false">
      <c r="A31" s="2"/>
      <c r="B31" s="2"/>
      <c r="C31" s="2"/>
      <c r="D31" s="2"/>
      <c r="E31" s="2"/>
      <c r="F31" s="2"/>
      <c r="G31" s="2"/>
    </row>
    <row r="32" customFormat="false" ht="15" hidden="false" customHeight="false" outlineLevel="0" collapsed="false">
      <c r="A32" s="18" t="s">
        <v>82</v>
      </c>
      <c r="B32" s="18"/>
      <c r="C32" s="18"/>
      <c r="D32" s="18"/>
      <c r="E32" s="18"/>
      <c r="F32" s="18"/>
      <c r="G32" s="18"/>
    </row>
  </sheetData>
  <mergeCells count="7">
    <mergeCell ref="A25:G25"/>
    <mergeCell ref="A26:G26"/>
    <mergeCell ref="A27:G27"/>
    <mergeCell ref="A28:G28"/>
    <mergeCell ref="A29:G29"/>
    <mergeCell ref="A30:G30"/>
    <mergeCell ref="A32:G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30"/>
    <col collapsed="false" customWidth="true" hidden="false" outlineLevel="0" max="4" min="4" style="0" width="16"/>
    <col collapsed="false" customWidth="true" hidden="false" outlineLevel="0" max="5" min="5" style="0" width="7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83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84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4" t="s">
        <v>85</v>
      </c>
      <c r="B4" s="4" t="s">
        <v>86</v>
      </c>
      <c r="C4" s="4" t="s">
        <v>87</v>
      </c>
      <c r="D4" s="4" t="s">
        <v>88</v>
      </c>
      <c r="E4" s="4" t="s">
        <v>89</v>
      </c>
      <c r="F4" s="4" t="s">
        <v>90</v>
      </c>
    </row>
    <row r="5" customFormat="false" ht="15" hidden="false" customHeight="false" outlineLevel="0" collapsed="false">
      <c r="A5" s="8" t="s">
        <v>91</v>
      </c>
      <c r="B5" s="8" t="s">
        <v>92</v>
      </c>
      <c r="C5" s="8" t="s">
        <v>93</v>
      </c>
      <c r="D5" s="8" t="s">
        <v>94</v>
      </c>
      <c r="E5" s="19" t="n">
        <v>2</v>
      </c>
      <c r="F5" s="8" t="s">
        <v>95</v>
      </c>
    </row>
    <row r="6" customFormat="false" ht="15" hidden="false" customHeight="false" outlineLevel="0" collapsed="false">
      <c r="A6" s="8" t="s">
        <v>91</v>
      </c>
      <c r="B6" s="8" t="s">
        <v>96</v>
      </c>
      <c r="C6" s="8" t="s">
        <v>93</v>
      </c>
      <c r="D6" s="8" t="s">
        <v>94</v>
      </c>
      <c r="E6" s="19" t="n">
        <v>2</v>
      </c>
      <c r="F6" s="8" t="s">
        <v>97</v>
      </c>
    </row>
    <row r="7" customFormat="false" ht="15" hidden="false" customHeight="false" outlineLevel="0" collapsed="false">
      <c r="A7" s="8" t="s">
        <v>98</v>
      </c>
      <c r="B7" s="8" t="s">
        <v>99</v>
      </c>
      <c r="C7" s="8" t="s">
        <v>93</v>
      </c>
      <c r="D7" s="8" t="s">
        <v>94</v>
      </c>
      <c r="E7" s="19" t="n">
        <v>1</v>
      </c>
      <c r="F7" s="8" t="s">
        <v>100</v>
      </c>
    </row>
    <row r="8" customFormat="false" ht="15" hidden="false" customHeight="false" outlineLevel="0" collapsed="false">
      <c r="A8" s="8" t="s">
        <v>101</v>
      </c>
      <c r="B8" s="8" t="s">
        <v>102</v>
      </c>
      <c r="C8" s="8" t="s">
        <v>33</v>
      </c>
      <c r="D8" s="8" t="s">
        <v>103</v>
      </c>
      <c r="E8" s="19" t="n">
        <v>3</v>
      </c>
      <c r="F8" s="8" t="s">
        <v>104</v>
      </c>
    </row>
    <row r="9" customFormat="false" ht="15" hidden="false" customHeight="false" outlineLevel="0" collapsed="false">
      <c r="A9" s="8" t="s">
        <v>105</v>
      </c>
      <c r="B9" s="8" t="s">
        <v>106</v>
      </c>
      <c r="C9" s="8" t="s">
        <v>93</v>
      </c>
      <c r="D9" s="8" t="s">
        <v>94</v>
      </c>
      <c r="E9" s="19" t="n">
        <v>1</v>
      </c>
      <c r="F9" s="8" t="s">
        <v>107</v>
      </c>
    </row>
    <row r="10" customFormat="false" ht="15" hidden="false" customHeight="false" outlineLevel="0" collapsed="false">
      <c r="A10" s="8" t="s">
        <v>108</v>
      </c>
      <c r="B10" s="8" t="s">
        <v>109</v>
      </c>
      <c r="C10" s="8" t="s">
        <v>93</v>
      </c>
      <c r="D10" s="8" t="s">
        <v>94</v>
      </c>
      <c r="E10" s="19" t="n">
        <v>1</v>
      </c>
      <c r="F10" s="8" t="s">
        <v>110</v>
      </c>
    </row>
    <row r="11" customFormat="false" ht="15" hidden="false" customHeight="false" outlineLevel="0" collapsed="false">
      <c r="A11" s="8" t="s">
        <v>108</v>
      </c>
      <c r="B11" s="8" t="s">
        <v>111</v>
      </c>
      <c r="C11" s="8" t="s">
        <v>93</v>
      </c>
      <c r="D11" s="8" t="s">
        <v>94</v>
      </c>
      <c r="E11" s="19" t="n">
        <v>1</v>
      </c>
      <c r="F11" s="8" t="s">
        <v>112</v>
      </c>
    </row>
    <row r="12" customFormat="false" ht="15" hidden="false" customHeight="false" outlineLevel="0" collapsed="false">
      <c r="A12" s="8" t="s">
        <v>108</v>
      </c>
      <c r="B12" s="8" t="s">
        <v>113</v>
      </c>
      <c r="C12" s="8" t="s">
        <v>93</v>
      </c>
      <c r="D12" s="8" t="s">
        <v>94</v>
      </c>
      <c r="E12" s="19" t="n">
        <v>1</v>
      </c>
      <c r="F12" s="8" t="s">
        <v>112</v>
      </c>
    </row>
    <row r="13" customFormat="false" ht="15" hidden="false" customHeight="false" outlineLevel="0" collapsed="false">
      <c r="A13" s="8" t="s">
        <v>108</v>
      </c>
      <c r="B13" s="8" t="s">
        <v>114</v>
      </c>
      <c r="C13" s="8" t="s">
        <v>93</v>
      </c>
      <c r="D13" s="8" t="s">
        <v>94</v>
      </c>
      <c r="E13" s="19" t="n">
        <v>1</v>
      </c>
      <c r="F13" s="8" t="s">
        <v>115</v>
      </c>
    </row>
    <row r="14" customFormat="false" ht="15" hidden="false" customHeight="false" outlineLevel="0" collapsed="false">
      <c r="A14" s="8" t="s">
        <v>116</v>
      </c>
      <c r="B14" s="8" t="s">
        <v>117</v>
      </c>
      <c r="C14" s="8" t="s">
        <v>93</v>
      </c>
      <c r="D14" s="8" t="s">
        <v>94</v>
      </c>
      <c r="E14" s="19" t="n">
        <v>1</v>
      </c>
      <c r="F14" s="8" t="s">
        <v>118</v>
      </c>
    </row>
    <row r="15" customFormat="false" ht="15" hidden="false" customHeight="false" outlineLevel="0" collapsed="false">
      <c r="A15" s="8" t="s">
        <v>116</v>
      </c>
      <c r="B15" s="8" t="s">
        <v>119</v>
      </c>
      <c r="C15" s="8" t="s">
        <v>120</v>
      </c>
      <c r="D15" s="8" t="s">
        <v>121</v>
      </c>
      <c r="E15" s="19" t="n">
        <v>1</v>
      </c>
      <c r="F15" s="8" t="s">
        <v>122</v>
      </c>
    </row>
    <row r="16" customFormat="false" ht="15" hidden="false" customHeight="false" outlineLevel="0" collapsed="false">
      <c r="A16" s="8" t="s">
        <v>116</v>
      </c>
      <c r="B16" s="8" t="s">
        <v>123</v>
      </c>
      <c r="C16" s="8" t="s">
        <v>120</v>
      </c>
      <c r="D16" s="8" t="s">
        <v>121</v>
      </c>
      <c r="E16" s="19" t="n">
        <v>1</v>
      </c>
      <c r="F16" s="8" t="s">
        <v>112</v>
      </c>
    </row>
    <row r="17" customFormat="false" ht="15" hidden="false" customHeight="false" outlineLevel="0" collapsed="false">
      <c r="A17" s="8" t="s">
        <v>116</v>
      </c>
      <c r="B17" s="8" t="s">
        <v>124</v>
      </c>
      <c r="C17" s="8" t="s">
        <v>120</v>
      </c>
      <c r="D17" s="8" t="s">
        <v>121</v>
      </c>
      <c r="E17" s="19" t="n">
        <v>1</v>
      </c>
      <c r="F17" s="8" t="s">
        <v>112</v>
      </c>
    </row>
    <row r="18" customFormat="false" ht="15" hidden="false" customHeight="false" outlineLevel="0" collapsed="false">
      <c r="A18" s="8" t="s">
        <v>116</v>
      </c>
      <c r="B18" s="8" t="s">
        <v>125</v>
      </c>
      <c r="C18" s="8" t="s">
        <v>120</v>
      </c>
      <c r="D18" s="8" t="s">
        <v>121</v>
      </c>
      <c r="E18" s="19" t="n">
        <v>1</v>
      </c>
      <c r="F18" s="8" t="s">
        <v>126</v>
      </c>
    </row>
    <row r="19" customFormat="false" ht="15" hidden="false" customHeight="false" outlineLevel="0" collapsed="false">
      <c r="A19" s="8" t="s">
        <v>127</v>
      </c>
      <c r="B19" s="8" t="s">
        <v>128</v>
      </c>
      <c r="C19" s="8" t="s">
        <v>39</v>
      </c>
      <c r="D19" s="8" t="s">
        <v>129</v>
      </c>
      <c r="E19" s="19" t="n">
        <v>1</v>
      </c>
      <c r="F19" s="8" t="s">
        <v>130</v>
      </c>
    </row>
    <row r="20" customFormat="false" ht="15" hidden="false" customHeight="false" outlineLevel="0" collapsed="false">
      <c r="A20" s="8" t="s">
        <v>127</v>
      </c>
      <c r="B20" s="8" t="s">
        <v>131</v>
      </c>
      <c r="C20" s="8" t="s">
        <v>39</v>
      </c>
      <c r="D20" s="8" t="s">
        <v>129</v>
      </c>
      <c r="E20" s="19" t="n">
        <v>1</v>
      </c>
      <c r="F20" s="8" t="s">
        <v>130</v>
      </c>
    </row>
    <row r="21" customFormat="false" ht="15" hidden="false" customHeight="false" outlineLevel="0" collapsed="false">
      <c r="A21" s="8" t="s">
        <v>127</v>
      </c>
      <c r="B21" s="8" t="s">
        <v>132</v>
      </c>
      <c r="C21" s="8" t="s">
        <v>39</v>
      </c>
      <c r="D21" s="8" t="s">
        <v>129</v>
      </c>
      <c r="E21" s="19" t="n">
        <v>1</v>
      </c>
      <c r="F21" s="8" t="s">
        <v>130</v>
      </c>
    </row>
    <row r="22" customFormat="false" ht="15" hidden="false" customHeight="false" outlineLevel="0" collapsed="false">
      <c r="A22" s="8" t="s">
        <v>127</v>
      </c>
      <c r="B22" s="8" t="s">
        <v>133</v>
      </c>
      <c r="C22" s="8" t="s">
        <v>45</v>
      </c>
      <c r="D22" s="8" t="s">
        <v>134</v>
      </c>
      <c r="E22" s="19" t="n">
        <v>16</v>
      </c>
      <c r="F22" s="8" t="s">
        <v>135</v>
      </c>
    </row>
    <row r="23" customFormat="false" ht="15" hidden="false" customHeight="false" outlineLevel="0" collapsed="false">
      <c r="A23" s="8" t="s">
        <v>136</v>
      </c>
      <c r="B23" s="8" t="s">
        <v>137</v>
      </c>
      <c r="C23" s="8" t="s">
        <v>138</v>
      </c>
      <c r="D23" s="8" t="s">
        <v>139</v>
      </c>
      <c r="E23" s="19" t="n">
        <v>2</v>
      </c>
      <c r="F23" s="8" t="s">
        <v>140</v>
      </c>
    </row>
    <row r="24" customFormat="false" ht="15" hidden="false" customHeight="false" outlineLevel="0" collapsed="false">
      <c r="A24" s="8" t="s">
        <v>67</v>
      </c>
      <c r="B24" s="8" t="s">
        <v>65</v>
      </c>
      <c r="C24" s="8" t="s">
        <v>141</v>
      </c>
      <c r="D24" s="8" t="s">
        <v>67</v>
      </c>
      <c r="E24" s="19" t="n">
        <v>1</v>
      </c>
      <c r="F24" s="8" t="s">
        <v>142</v>
      </c>
    </row>
    <row r="25" customFormat="false" ht="15" hidden="false" customHeight="false" outlineLevel="0" collapsed="false">
      <c r="A25" s="9"/>
      <c r="B25" s="9" t="s">
        <v>143</v>
      </c>
      <c r="C25" s="9"/>
      <c r="D25" s="9"/>
      <c r="E25" s="9" t="n">
        <f aca="false">SUM(E5:E24)</f>
        <v>40</v>
      </c>
      <c r="F25" s="9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</row>
    <row r="27" customFormat="false" ht="15" hidden="false" customHeight="false" outlineLevel="0" collapsed="false">
      <c r="A27" s="15" t="s">
        <v>144</v>
      </c>
      <c r="B27" s="2"/>
      <c r="C27" s="2"/>
      <c r="D27" s="2"/>
      <c r="E27" s="2"/>
      <c r="F27" s="2"/>
    </row>
    <row r="28" customFormat="false" ht="26.85" hidden="false" customHeight="false" outlineLevel="0" collapsed="false">
      <c r="A28" s="4" t="s">
        <v>145</v>
      </c>
      <c r="B28" s="4" t="s">
        <v>87</v>
      </c>
      <c r="C28" s="4" t="s">
        <v>146</v>
      </c>
      <c r="D28" s="4" t="s">
        <v>147</v>
      </c>
      <c r="E28" s="4" t="s">
        <v>148</v>
      </c>
      <c r="F28" s="4" t="s">
        <v>149</v>
      </c>
    </row>
    <row r="29" customFormat="false" ht="26.85" hidden="false" customHeight="false" outlineLevel="0" collapsed="false">
      <c r="A29" s="5" t="n">
        <v>1</v>
      </c>
      <c r="B29" s="5" t="s">
        <v>93</v>
      </c>
      <c r="C29" s="20" t="n">
        <v>12</v>
      </c>
      <c r="D29" s="21" t="n">
        <f aca="false">SUMIF($C$5:$C$24,B29,$E$5:$E$24)</f>
        <v>11</v>
      </c>
      <c r="E29" s="21" t="n">
        <f aca="false">C29-D29</f>
        <v>1</v>
      </c>
      <c r="F29" s="8" t="s">
        <v>150</v>
      </c>
    </row>
    <row r="30" customFormat="false" ht="15" hidden="false" customHeight="false" outlineLevel="0" collapsed="false">
      <c r="A30" s="5" t="n">
        <v>2</v>
      </c>
      <c r="B30" s="5" t="s">
        <v>33</v>
      </c>
      <c r="C30" s="22" t="n">
        <v>3</v>
      </c>
      <c r="D30" s="5" t="n">
        <f aca="false">SUMIF($C$5:$C$24,B30,$E$5:$E$24)</f>
        <v>3</v>
      </c>
      <c r="E30" s="5" t="n">
        <f aca="false">C30-D30</f>
        <v>0</v>
      </c>
      <c r="F30" s="8"/>
    </row>
    <row r="31" customFormat="false" ht="15" hidden="false" customHeight="false" outlineLevel="0" collapsed="false">
      <c r="A31" s="5" t="n">
        <v>3</v>
      </c>
      <c r="B31" s="5" t="s">
        <v>120</v>
      </c>
      <c r="C31" s="22" t="n">
        <v>4</v>
      </c>
      <c r="D31" s="5" t="n">
        <f aca="false">SUMIF($C$5:$C$24,B31,$E$5:$E$24)</f>
        <v>4</v>
      </c>
      <c r="E31" s="5" t="n">
        <f aca="false">C31-D31</f>
        <v>0</v>
      </c>
      <c r="F31" s="8" t="s">
        <v>151</v>
      </c>
    </row>
    <row r="32" customFormat="false" ht="15" hidden="false" customHeight="false" outlineLevel="0" collapsed="false">
      <c r="A32" s="5" t="n">
        <v>4</v>
      </c>
      <c r="B32" s="5" t="s">
        <v>39</v>
      </c>
      <c r="C32" s="22" t="n">
        <v>3</v>
      </c>
      <c r="D32" s="5" t="n">
        <f aca="false">SUMIF($C$5:$C$24,B32,$E$5:$E$24)</f>
        <v>3</v>
      </c>
      <c r="E32" s="5" t="n">
        <f aca="false">C32-D32</f>
        <v>0</v>
      </c>
      <c r="F32" s="8"/>
    </row>
    <row r="33" customFormat="false" ht="15" hidden="false" customHeight="false" outlineLevel="0" collapsed="false">
      <c r="A33" s="5" t="n">
        <v>5</v>
      </c>
      <c r="B33" s="5" t="s">
        <v>45</v>
      </c>
      <c r="C33" s="22" t="n">
        <v>16</v>
      </c>
      <c r="D33" s="5" t="n">
        <f aca="false">SUMIF($C$5:$C$24,B33,$E$5:$E$24)</f>
        <v>16</v>
      </c>
      <c r="E33" s="5" t="n">
        <f aca="false">C33-D33</f>
        <v>0</v>
      </c>
      <c r="F33" s="8"/>
    </row>
    <row r="34" customFormat="false" ht="15" hidden="false" customHeight="false" outlineLevel="0" collapsed="false">
      <c r="A34" s="5" t="n">
        <v>6</v>
      </c>
      <c r="B34" s="5" t="s">
        <v>138</v>
      </c>
      <c r="C34" s="22" t="n">
        <v>2</v>
      </c>
      <c r="D34" s="5" t="n">
        <f aca="false">SUMIF($C$5:$C$24,B34,$E$5:$E$24)</f>
        <v>2</v>
      </c>
      <c r="E34" s="5" t="n">
        <f aca="false">C34-D34</f>
        <v>0</v>
      </c>
      <c r="F34" s="8" t="s">
        <v>152</v>
      </c>
    </row>
    <row r="35" customFormat="false" ht="15" hidden="false" customHeight="false" outlineLevel="0" collapsed="false">
      <c r="A35" s="5" t="n">
        <v>7</v>
      </c>
      <c r="B35" s="5" t="s">
        <v>141</v>
      </c>
      <c r="C35" s="22" t="n">
        <v>1</v>
      </c>
      <c r="D35" s="5" t="n">
        <f aca="false">SUMIF($C$5:$C$24,B35,$E$5:$E$24)</f>
        <v>1</v>
      </c>
      <c r="E35" s="5" t="n">
        <f aca="false">C35-D35</f>
        <v>0</v>
      </c>
      <c r="F35" s="8" t="s">
        <v>153</v>
      </c>
    </row>
    <row r="36" customFormat="false" ht="15" hidden="false" customHeight="false" outlineLevel="0" collapsed="false">
      <c r="A36" s="9"/>
      <c r="B36" s="9" t="s">
        <v>154</v>
      </c>
      <c r="C36" s="9" t="n">
        <f aca="false">SUM(C29:C35)</f>
        <v>41</v>
      </c>
      <c r="D36" s="9" t="n">
        <f aca="false">SUM(D29:D35)</f>
        <v>40</v>
      </c>
      <c r="E36" s="9" t="n">
        <f aca="false">SUM(E29:E35)</f>
        <v>1</v>
      </c>
      <c r="F36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0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5" min="5" style="0" width="30"/>
    <col collapsed="false" customWidth="true" hidden="false" outlineLevel="0" max="6" min="6" style="0" width="10"/>
    <col collapsed="false" customWidth="true" hidden="false" outlineLevel="0" max="7" min="7" style="0" width="14"/>
    <col collapsed="false" customWidth="true" hidden="false" outlineLevel="0" max="8" min="8" style="0" width="13"/>
    <col collapsed="false" customWidth="true" hidden="false" outlineLevel="0" max="9" min="9" style="0" width="70"/>
  </cols>
  <sheetData>
    <row r="1" customFormat="false" ht="17.35" hidden="false" customHeight="false" outlineLevel="0" collapsed="false">
      <c r="A1" s="1" t="s">
        <v>155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156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4" customFormat="false" ht="15" hidden="false" customHeight="false" outlineLevel="0" collapsed="false">
      <c r="A4" s="4" t="s">
        <v>157</v>
      </c>
      <c r="B4" s="4" t="s">
        <v>158</v>
      </c>
      <c r="C4" s="4" t="s">
        <v>159</v>
      </c>
      <c r="D4" s="4" t="s">
        <v>160</v>
      </c>
      <c r="E4" s="4" t="s">
        <v>161</v>
      </c>
      <c r="F4" s="4" t="s">
        <v>162</v>
      </c>
      <c r="G4" s="4" t="s">
        <v>163</v>
      </c>
      <c r="H4" s="4" t="s">
        <v>148</v>
      </c>
      <c r="I4" s="4" t="s">
        <v>149</v>
      </c>
    </row>
    <row r="5" customFormat="false" ht="39.55" hidden="false" customHeight="false" outlineLevel="0" collapsed="false">
      <c r="A5" s="23" t="s">
        <v>164</v>
      </c>
      <c r="B5" s="24" t="n">
        <v>12</v>
      </c>
      <c r="C5" s="25" t="n">
        <v>70</v>
      </c>
      <c r="D5" s="6" t="n">
        <f aca="false">B5*C5</f>
        <v>840</v>
      </c>
      <c r="E5" s="23" t="s">
        <v>93</v>
      </c>
      <c r="F5" s="26" t="n">
        <v>12</v>
      </c>
      <c r="G5" s="6" t="n">
        <f aca="false">IF(ISNUMBER(F5),F5*C5,"a cotar")</f>
        <v>840</v>
      </c>
      <c r="H5" s="6" t="n">
        <f aca="false">IF(ISNUMBER(G5),G5-D5,-D5)</f>
        <v>0</v>
      </c>
      <c r="I5" s="8" t="s">
        <v>165</v>
      </c>
    </row>
    <row r="6" customFormat="false" ht="26.85" hidden="false" customHeight="false" outlineLevel="0" collapsed="false">
      <c r="A6" s="16" t="s">
        <v>166</v>
      </c>
      <c r="B6" s="20" t="n">
        <v>12</v>
      </c>
      <c r="C6" s="25" t="n">
        <v>74</v>
      </c>
      <c r="D6" s="6" t="n">
        <f aca="false">B6*C6</f>
        <v>888</v>
      </c>
      <c r="E6" s="16" t="s">
        <v>33</v>
      </c>
      <c r="F6" s="21" t="n">
        <v>3</v>
      </c>
      <c r="G6" s="6" t="n">
        <f aca="false">IF(ISNUMBER(F6),F6*C6,"a cotar")</f>
        <v>222</v>
      </c>
      <c r="H6" s="6" t="n">
        <f aca="false">IF(ISNUMBER(G6),G6-D6,-D6)</f>
        <v>-666</v>
      </c>
      <c r="I6" s="8" t="s">
        <v>167</v>
      </c>
    </row>
    <row r="7" customFormat="false" ht="15" hidden="false" customHeight="false" outlineLevel="0" collapsed="false">
      <c r="A7" s="23" t="s">
        <v>168</v>
      </c>
      <c r="B7" s="24" t="n">
        <v>3</v>
      </c>
      <c r="C7" s="25" t="n">
        <v>149</v>
      </c>
      <c r="D7" s="6" t="n">
        <f aca="false">B7*C7</f>
        <v>447</v>
      </c>
      <c r="E7" s="23" t="s">
        <v>39</v>
      </c>
      <c r="F7" s="26" t="n">
        <v>3</v>
      </c>
      <c r="G7" s="6" t="n">
        <f aca="false">IF(ISNUMBER(F7),F7*C7,"a cotar")</f>
        <v>447</v>
      </c>
      <c r="H7" s="6" t="n">
        <f aca="false">IF(ISNUMBER(G7),G7-D7,-D7)</f>
        <v>0</v>
      </c>
      <c r="I7" s="8" t="s">
        <v>169</v>
      </c>
    </row>
    <row r="8" customFormat="false" ht="15" hidden="false" customHeight="false" outlineLevel="0" collapsed="false">
      <c r="A8" s="23" t="s">
        <v>170</v>
      </c>
      <c r="B8" s="24" t="n">
        <v>16</v>
      </c>
      <c r="C8" s="25" t="n">
        <v>99</v>
      </c>
      <c r="D8" s="6" t="n">
        <f aca="false">B8*C8</f>
        <v>1584</v>
      </c>
      <c r="E8" s="23" t="s">
        <v>45</v>
      </c>
      <c r="F8" s="26" t="n">
        <v>16</v>
      </c>
      <c r="G8" s="6" t="n">
        <f aca="false">IF(ISNUMBER(F8),F8*C8,"a cotar")</f>
        <v>1584</v>
      </c>
      <c r="H8" s="6" t="n">
        <f aca="false">IF(ISNUMBER(G8),G8-D8,-D8)</f>
        <v>0</v>
      </c>
      <c r="I8" s="8" t="s">
        <v>171</v>
      </c>
    </row>
    <row r="9" customFormat="false" ht="39.55" hidden="false" customHeight="false" outlineLevel="0" collapsed="false">
      <c r="A9" s="16" t="s">
        <v>172</v>
      </c>
      <c r="B9" s="20" t="n">
        <v>4</v>
      </c>
      <c r="C9" s="25" t="n">
        <v>35</v>
      </c>
      <c r="D9" s="6" t="n">
        <f aca="false">B9*C9</f>
        <v>140</v>
      </c>
      <c r="E9" s="16" t="s">
        <v>173</v>
      </c>
      <c r="F9" s="21" t="s">
        <v>174</v>
      </c>
      <c r="G9" s="6" t="str">
        <f aca="false">IF(ISNUMBER(F9),F9*C9,"a cotar")</f>
        <v>a cotar</v>
      </c>
      <c r="H9" s="6" t="n">
        <f aca="false">IF(ISNUMBER(G9),G9-D9,-D9)</f>
        <v>-140</v>
      </c>
      <c r="I9" s="8" t="s">
        <v>175</v>
      </c>
    </row>
    <row r="10" customFormat="false" ht="15" hidden="false" customHeight="false" outlineLevel="0" collapsed="false">
      <c r="A10" s="8" t="s">
        <v>176</v>
      </c>
      <c r="B10" s="22" t="n">
        <v>1</v>
      </c>
      <c r="C10" s="25" t="n">
        <v>15</v>
      </c>
      <c r="D10" s="6" t="n">
        <f aca="false">B10*C10</f>
        <v>15</v>
      </c>
      <c r="E10" s="8" t="s">
        <v>69</v>
      </c>
      <c r="F10" s="5" t="n">
        <v>1</v>
      </c>
      <c r="G10" s="6" t="n">
        <f aca="false">IF(ISNUMBER(F10),F10*C10,"a cotar")</f>
        <v>15</v>
      </c>
      <c r="H10" s="6" t="n">
        <f aca="false">IF(ISNUMBER(G10),G10-D10,-D10)</f>
        <v>0</v>
      </c>
      <c r="I10" s="8" t="s">
        <v>177</v>
      </c>
    </row>
    <row r="11" customFormat="false" ht="15" hidden="false" customHeight="false" outlineLevel="0" collapsed="false">
      <c r="A11" s="27" t="s">
        <v>178</v>
      </c>
      <c r="B11" s="28" t="n">
        <v>0</v>
      </c>
      <c r="C11" s="6"/>
      <c r="D11" s="6" t="n">
        <v>0</v>
      </c>
      <c r="E11" s="29" t="s">
        <v>138</v>
      </c>
      <c r="F11" s="29" t="n">
        <v>2</v>
      </c>
      <c r="G11" s="30" t="s">
        <v>174</v>
      </c>
      <c r="H11" s="31" t="s">
        <v>174</v>
      </c>
      <c r="I11" s="8" t="s">
        <v>179</v>
      </c>
    </row>
    <row r="12" customFormat="false" ht="15" hidden="false" customHeight="false" outlineLevel="0" collapsed="false">
      <c r="A12" s="27" t="s">
        <v>180</v>
      </c>
      <c r="B12" s="28" t="n">
        <v>0</v>
      </c>
      <c r="C12" s="6"/>
      <c r="D12" s="6" t="n">
        <v>0</v>
      </c>
      <c r="E12" s="29" t="s">
        <v>141</v>
      </c>
      <c r="F12" s="29" t="n">
        <v>1</v>
      </c>
      <c r="G12" s="30" t="s">
        <v>174</v>
      </c>
      <c r="H12" s="31" t="s">
        <v>174</v>
      </c>
      <c r="I12" s="8" t="s">
        <v>181</v>
      </c>
    </row>
    <row r="13" customFormat="false" ht="15" hidden="false" customHeight="false" outlineLevel="0" collapsed="false">
      <c r="A13" s="9" t="s">
        <v>182</v>
      </c>
      <c r="B13" s="9"/>
      <c r="C13" s="9"/>
      <c r="D13" s="10" t="n">
        <f aca="false">SUM(D5:D12)</f>
        <v>3914</v>
      </c>
      <c r="E13" s="9"/>
      <c r="F13" s="9"/>
      <c r="G13" s="10" t="n">
        <f aca="false">SUM(G5:G10)</f>
        <v>3108</v>
      </c>
      <c r="H13" s="10" t="n">
        <f aca="false">G13-D13</f>
        <v>-806</v>
      </c>
      <c r="I13" s="9"/>
    </row>
    <row r="14" customFormat="false" ht="15" hidden="false" customHeight="false" outlineLevel="0" collapsed="false">
      <c r="A14" s="9" t="s">
        <v>183</v>
      </c>
      <c r="B14" s="32" t="n">
        <v>0.23</v>
      </c>
      <c r="C14" s="9"/>
      <c r="D14" s="10" t="n">
        <f aca="false">D13*$B$14</f>
        <v>900.22</v>
      </c>
      <c r="E14" s="9"/>
      <c r="F14" s="9"/>
      <c r="G14" s="10" t="n">
        <f aca="false">G13*$B$14</f>
        <v>714.84</v>
      </c>
      <c r="H14" s="10" t="n">
        <f aca="false">G14-D14</f>
        <v>-185.38</v>
      </c>
      <c r="I14" s="9"/>
    </row>
    <row r="15" customFormat="false" ht="15" hidden="false" customHeight="false" outlineLevel="0" collapsed="false">
      <c r="A15" s="9" t="s">
        <v>184</v>
      </c>
      <c r="B15" s="9"/>
      <c r="C15" s="9"/>
      <c r="D15" s="10" t="n">
        <f aca="false">D13+D14</f>
        <v>4814.22</v>
      </c>
      <c r="E15" s="9"/>
      <c r="F15" s="9"/>
      <c r="G15" s="10" t="n">
        <f aca="false">G13+G14</f>
        <v>3822.84</v>
      </c>
      <c r="H15" s="10" t="n">
        <f aca="false">G15-D15</f>
        <v>-991.38</v>
      </c>
      <c r="I15" s="9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</row>
    <row r="17" customFormat="false" ht="15" hidden="false" customHeight="false" outlineLevel="0" collapsed="false">
      <c r="A17" s="3" t="s">
        <v>185</v>
      </c>
      <c r="B17" s="2"/>
      <c r="C17" s="2"/>
      <c r="D17" s="2"/>
      <c r="E17" s="2"/>
      <c r="F17" s="2"/>
      <c r="G17" s="2"/>
      <c r="H17" s="2"/>
      <c r="I17" s="2"/>
    </row>
    <row r="18" customFormat="false" ht="15" hidden="false" customHeight="false" outlineLevel="0" collapsed="false">
      <c r="A18" s="3" t="s">
        <v>186</v>
      </c>
      <c r="B18" s="2"/>
      <c r="C18" s="2"/>
      <c r="D18" s="2"/>
      <c r="E18" s="2"/>
      <c r="F18" s="2"/>
      <c r="G18" s="2"/>
      <c r="H18" s="2"/>
      <c r="I18" s="2"/>
    </row>
    <row r="19" customFormat="false" ht="15" hidden="false" customHeight="false" outlineLevel="0" collapsed="false">
      <c r="A19" s="3" t="s">
        <v>187</v>
      </c>
      <c r="B19" s="2"/>
      <c r="C19" s="2"/>
      <c r="D19" s="2"/>
      <c r="E19" s="2"/>
      <c r="F19" s="2"/>
      <c r="G19" s="2"/>
      <c r="H19" s="2"/>
      <c r="I1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0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5" min="5" style="0" width="30"/>
    <col collapsed="false" customWidth="true" hidden="false" outlineLevel="0" max="6" min="6" style="0" width="10"/>
    <col collapsed="false" customWidth="true" hidden="false" outlineLevel="0" max="7" min="7" style="0" width="14"/>
    <col collapsed="false" customWidth="true" hidden="false" outlineLevel="0" max="8" min="8" style="0" width="13"/>
    <col collapsed="false" customWidth="true" hidden="false" outlineLevel="0" max="9" min="9" style="0" width="70"/>
  </cols>
  <sheetData>
    <row r="1" customFormat="false" ht="17.35" hidden="false" customHeight="false" outlineLevel="0" collapsed="false">
      <c r="A1" s="1" t="s">
        <v>188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189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4" customFormat="false" ht="15" hidden="false" customHeight="false" outlineLevel="0" collapsed="false">
      <c r="A4" s="4" t="s">
        <v>157</v>
      </c>
      <c r="B4" s="4" t="s">
        <v>158</v>
      </c>
      <c r="C4" s="4" t="s">
        <v>159</v>
      </c>
      <c r="D4" s="4" t="s">
        <v>160</v>
      </c>
      <c r="E4" s="4" t="s">
        <v>161</v>
      </c>
      <c r="F4" s="4" t="s">
        <v>162</v>
      </c>
      <c r="G4" s="4" t="s">
        <v>163</v>
      </c>
      <c r="H4" s="4" t="s">
        <v>148</v>
      </c>
      <c r="I4" s="4" t="s">
        <v>149</v>
      </c>
    </row>
    <row r="5" customFormat="false" ht="26.85" hidden="false" customHeight="false" outlineLevel="0" collapsed="false">
      <c r="A5" s="23" t="s">
        <v>190</v>
      </c>
      <c r="B5" s="24" t="n">
        <v>12</v>
      </c>
      <c r="C5" s="25" t="n">
        <v>110</v>
      </c>
      <c r="D5" s="6" t="n">
        <f aca="false">B5*C5</f>
        <v>1320</v>
      </c>
      <c r="E5" s="23" t="s">
        <v>93</v>
      </c>
      <c r="F5" s="26" t="n">
        <v>12</v>
      </c>
      <c r="G5" s="6" t="n">
        <f aca="false">IF(ISNUMBER(F5),F5*C5,"a cotar")</f>
        <v>1320</v>
      </c>
      <c r="H5" s="6" t="n">
        <f aca="false">IF(ISNUMBER(G5),G5-D5,-D5)</f>
        <v>0</v>
      </c>
      <c r="I5" s="8" t="s">
        <v>191</v>
      </c>
    </row>
    <row r="6" customFormat="false" ht="26.85" hidden="false" customHeight="false" outlineLevel="0" collapsed="false">
      <c r="A6" s="16" t="s">
        <v>192</v>
      </c>
      <c r="B6" s="20" t="n">
        <v>12</v>
      </c>
      <c r="C6" s="25" t="n">
        <v>110</v>
      </c>
      <c r="D6" s="6" t="n">
        <f aca="false">B6*C6</f>
        <v>1320</v>
      </c>
      <c r="E6" s="16" t="s">
        <v>33</v>
      </c>
      <c r="F6" s="21" t="n">
        <v>3</v>
      </c>
      <c r="G6" s="6" t="n">
        <f aca="false">IF(ISNUMBER(F6),F6*C6,"a cotar")</f>
        <v>330</v>
      </c>
      <c r="H6" s="6" t="n">
        <f aca="false">IF(ISNUMBER(G6),G6-D6,-D6)</f>
        <v>-990</v>
      </c>
      <c r="I6" s="8" t="s">
        <v>193</v>
      </c>
    </row>
    <row r="7" customFormat="false" ht="26.85" hidden="false" customHeight="false" outlineLevel="0" collapsed="false">
      <c r="A7" s="16" t="s">
        <v>194</v>
      </c>
      <c r="B7" s="20" t="n">
        <v>1</v>
      </c>
      <c r="C7" s="25" t="n">
        <v>333</v>
      </c>
      <c r="D7" s="6" t="n">
        <f aca="false">B7*C7</f>
        <v>333</v>
      </c>
      <c r="E7" s="16" t="s">
        <v>39</v>
      </c>
      <c r="F7" s="21" t="n">
        <v>3</v>
      </c>
      <c r="G7" s="6" t="n">
        <f aca="false">IF(ISNUMBER(F7),F7*C7,"a cotar")</f>
        <v>999</v>
      </c>
      <c r="H7" s="6" t="n">
        <f aca="false">IF(ISNUMBER(G7),G7-D7,-D7)</f>
        <v>666</v>
      </c>
      <c r="I7" s="8" t="s">
        <v>195</v>
      </c>
    </row>
    <row r="8" customFormat="false" ht="26.85" hidden="false" customHeight="false" outlineLevel="0" collapsed="false">
      <c r="A8" s="23" t="s">
        <v>196</v>
      </c>
      <c r="B8" s="24" t="n">
        <v>16</v>
      </c>
      <c r="C8" s="25" t="n">
        <v>90</v>
      </c>
      <c r="D8" s="6" t="n">
        <f aca="false">B8*C8</f>
        <v>1440</v>
      </c>
      <c r="E8" s="23" t="s">
        <v>45</v>
      </c>
      <c r="F8" s="26" t="n">
        <v>16</v>
      </c>
      <c r="G8" s="6" t="n">
        <f aca="false">IF(ISNUMBER(F8),F8*C8,"a cotar")</f>
        <v>1440</v>
      </c>
      <c r="H8" s="6" t="n">
        <f aca="false">IF(ISNUMBER(G8),G8-D8,-D8)</f>
        <v>0</v>
      </c>
      <c r="I8" s="8" t="s">
        <v>197</v>
      </c>
    </row>
    <row r="9" customFormat="false" ht="26.85" hidden="false" customHeight="false" outlineLevel="0" collapsed="false">
      <c r="A9" s="8" t="s">
        <v>198</v>
      </c>
      <c r="B9" s="22" t="n">
        <v>16</v>
      </c>
      <c r="C9" s="25" t="n">
        <v>154.6875</v>
      </c>
      <c r="D9" s="6" t="n">
        <f aca="false">B9*C9</f>
        <v>2475</v>
      </c>
      <c r="E9" s="8" t="s">
        <v>199</v>
      </c>
      <c r="F9" s="5" t="n">
        <v>0</v>
      </c>
      <c r="G9" s="6" t="n">
        <v>0</v>
      </c>
      <c r="H9" s="31" t="s">
        <v>200</v>
      </c>
      <c r="I9" s="8" t="s">
        <v>201</v>
      </c>
    </row>
    <row r="10" customFormat="false" ht="15" hidden="false" customHeight="false" outlineLevel="0" collapsed="false">
      <c r="A10" s="23" t="s">
        <v>202</v>
      </c>
      <c r="B10" s="24" t="n">
        <v>2</v>
      </c>
      <c r="C10" s="25" t="n">
        <v>20</v>
      </c>
      <c r="D10" s="6" t="n">
        <f aca="false">B10*C10</f>
        <v>40</v>
      </c>
      <c r="E10" s="23" t="s">
        <v>138</v>
      </c>
      <c r="F10" s="26" t="n">
        <v>2</v>
      </c>
      <c r="G10" s="6" t="n">
        <f aca="false">IF(ISNUMBER(F10),F10*C10,"a cotar")</f>
        <v>40</v>
      </c>
      <c r="H10" s="6" t="n">
        <f aca="false">IF(ISNUMBER(G10),G10-D10,-D10)</f>
        <v>0</v>
      </c>
      <c r="I10" s="8" t="s">
        <v>203</v>
      </c>
    </row>
    <row r="11" customFormat="false" ht="15" hidden="false" customHeight="false" outlineLevel="0" collapsed="false">
      <c r="A11" s="27" t="s">
        <v>204</v>
      </c>
      <c r="B11" s="28" t="n">
        <v>0</v>
      </c>
      <c r="C11" s="6"/>
      <c r="D11" s="6" t="n">
        <v>0</v>
      </c>
      <c r="E11" s="29" t="s">
        <v>173</v>
      </c>
      <c r="F11" s="29" t="n">
        <v>4</v>
      </c>
      <c r="G11" s="30" t="s">
        <v>174</v>
      </c>
      <c r="H11" s="31" t="s">
        <v>174</v>
      </c>
      <c r="I11" s="8" t="s">
        <v>205</v>
      </c>
    </row>
    <row r="12" customFormat="false" ht="15" hidden="false" customHeight="false" outlineLevel="0" collapsed="false">
      <c r="A12" s="27" t="s">
        <v>180</v>
      </c>
      <c r="B12" s="28" t="n">
        <v>0</v>
      </c>
      <c r="C12" s="6"/>
      <c r="D12" s="6" t="n">
        <v>0</v>
      </c>
      <c r="E12" s="29" t="s">
        <v>141</v>
      </c>
      <c r="F12" s="29" t="n">
        <v>1</v>
      </c>
      <c r="G12" s="30" t="s">
        <v>174</v>
      </c>
      <c r="H12" s="31" t="s">
        <v>174</v>
      </c>
      <c r="I12" s="8" t="s">
        <v>206</v>
      </c>
    </row>
    <row r="13" customFormat="false" ht="15" hidden="false" customHeight="false" outlineLevel="0" collapsed="false">
      <c r="A13" s="9" t="s">
        <v>182</v>
      </c>
      <c r="B13" s="9"/>
      <c r="C13" s="9"/>
      <c r="D13" s="10" t="n">
        <f aca="false">SUM(D5:D12)-D9</f>
        <v>4453</v>
      </c>
      <c r="E13" s="9"/>
      <c r="F13" s="9"/>
      <c r="G13" s="10" t="n">
        <f aca="false">SUM(G5:G10)</f>
        <v>4129</v>
      </c>
      <c r="H13" s="10" t="n">
        <f aca="false">G13-D13</f>
        <v>-324</v>
      </c>
      <c r="I13" s="9"/>
    </row>
    <row r="14" customFormat="false" ht="15" hidden="false" customHeight="false" outlineLevel="0" collapsed="false">
      <c r="A14" s="9" t="s">
        <v>183</v>
      </c>
      <c r="B14" s="32" t="n">
        <v>0.23</v>
      </c>
      <c r="C14" s="9"/>
      <c r="D14" s="10" t="n">
        <f aca="false">D13*$B$14</f>
        <v>1024.19</v>
      </c>
      <c r="E14" s="9"/>
      <c r="F14" s="9"/>
      <c r="G14" s="10" t="n">
        <f aca="false">G13*$B$14</f>
        <v>949.67</v>
      </c>
      <c r="H14" s="10" t="n">
        <f aca="false">G14-D14</f>
        <v>-74.52</v>
      </c>
      <c r="I14" s="9"/>
    </row>
    <row r="15" customFormat="false" ht="15" hidden="false" customHeight="false" outlineLevel="0" collapsed="false">
      <c r="A15" s="9" t="s">
        <v>184</v>
      </c>
      <c r="B15" s="9"/>
      <c r="C15" s="9"/>
      <c r="D15" s="10" t="n">
        <f aca="false">D13+D14</f>
        <v>5477.19</v>
      </c>
      <c r="E15" s="9"/>
      <c r="F15" s="9"/>
      <c r="G15" s="10" t="n">
        <f aca="false">G13+G14</f>
        <v>5078.67</v>
      </c>
      <c r="H15" s="10" t="n">
        <f aca="false">G15-D15</f>
        <v>-398.52</v>
      </c>
      <c r="I15" s="9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</row>
    <row r="17" customFormat="false" ht="15" hidden="false" customHeight="false" outlineLevel="0" collapsed="false">
      <c r="A17" s="3" t="s">
        <v>207</v>
      </c>
      <c r="B17" s="2"/>
      <c r="C17" s="2"/>
      <c r="D17" s="2"/>
      <c r="E17" s="2"/>
      <c r="F17" s="2"/>
      <c r="G17" s="2"/>
      <c r="H17" s="2"/>
      <c r="I17" s="2"/>
    </row>
    <row r="18" customFormat="false" ht="15" hidden="false" customHeight="false" outlineLevel="0" collapsed="false">
      <c r="A18" s="3" t="s">
        <v>208</v>
      </c>
      <c r="B18" s="2"/>
      <c r="C18" s="2"/>
      <c r="D18" s="2"/>
      <c r="E18" s="2"/>
      <c r="F18" s="2"/>
      <c r="G18" s="2"/>
      <c r="H18" s="2"/>
      <c r="I18" s="2"/>
    </row>
    <row r="19" customFormat="false" ht="15" hidden="false" customHeight="false" outlineLevel="0" collapsed="false">
      <c r="A19" s="3" t="s">
        <v>209</v>
      </c>
      <c r="B19" s="2"/>
      <c r="C19" s="2"/>
      <c r="D19" s="2"/>
      <c r="E19" s="2"/>
      <c r="F19" s="2"/>
      <c r="G19" s="2"/>
      <c r="H19" s="2"/>
      <c r="I1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4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0" max="8" min="5" style="0" width="14"/>
    <col collapsed="false" customWidth="true" hidden="false" outlineLevel="0" max="9" min="9" style="0" width="30"/>
    <col collapsed="false" customWidth="true" hidden="false" outlineLevel="0" max="10" min="10" style="0" width="60"/>
  </cols>
  <sheetData>
    <row r="1" customFormat="false" ht="17.35" hidden="false" customHeight="false" outlineLevel="0" collapsed="false">
      <c r="A1" s="1" t="s">
        <v>210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211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26.85" hidden="false" customHeight="false" outlineLevel="0" collapsed="false">
      <c r="A4" s="4" t="s">
        <v>212</v>
      </c>
      <c r="B4" s="4" t="s">
        <v>213</v>
      </c>
      <c r="C4" s="4" t="s">
        <v>214</v>
      </c>
      <c r="D4" s="4" t="s">
        <v>215</v>
      </c>
      <c r="E4" s="4" t="s">
        <v>216</v>
      </c>
      <c r="F4" s="4" t="s">
        <v>184</v>
      </c>
      <c r="G4" s="4" t="s">
        <v>217</v>
      </c>
      <c r="H4" s="4" t="s">
        <v>218</v>
      </c>
      <c r="I4" s="4" t="s">
        <v>219</v>
      </c>
      <c r="J4" s="4" t="s">
        <v>149</v>
      </c>
    </row>
    <row r="5" customFormat="false" ht="26.85" hidden="false" customHeight="false" outlineLevel="0" collapsed="false">
      <c r="A5" s="8" t="s">
        <v>220</v>
      </c>
      <c r="B5" s="8" t="s">
        <v>221</v>
      </c>
      <c r="C5" s="22" t="n">
        <v>3</v>
      </c>
      <c r="D5" s="22" t="n">
        <v>1</v>
      </c>
      <c r="E5" s="25" t="n">
        <v>146.36</v>
      </c>
      <c r="F5" s="6" t="n">
        <f aca="false">C5*D5*E5</f>
        <v>439.08</v>
      </c>
      <c r="G5" s="6" t="n">
        <f aca="false">E5/(1+$E$14)</f>
        <v>118.991869918699</v>
      </c>
      <c r="H5" s="6" t="n">
        <f aca="false">C5*D5*G5</f>
        <v>356.975609756098</v>
      </c>
      <c r="I5" s="8" t="s">
        <v>39</v>
      </c>
      <c r="J5" s="8" t="s">
        <v>222</v>
      </c>
    </row>
    <row r="6" customFormat="false" ht="39.55" hidden="false" customHeight="false" outlineLevel="0" collapsed="false">
      <c r="A6" s="8" t="s">
        <v>223</v>
      </c>
      <c r="B6" s="8" t="s">
        <v>224</v>
      </c>
      <c r="C6" s="22" t="n">
        <v>16</v>
      </c>
      <c r="D6" s="22" t="n">
        <v>1</v>
      </c>
      <c r="E6" s="25" t="n">
        <v>104.54</v>
      </c>
      <c r="F6" s="6" t="n">
        <f aca="false">C6*D6*E6</f>
        <v>1672.64</v>
      </c>
      <c r="G6" s="6" t="n">
        <f aca="false">E6/(1+$E$14)</f>
        <v>84.9918699186992</v>
      </c>
      <c r="H6" s="6" t="n">
        <f aca="false">C6*D6*G6</f>
        <v>1359.86991869919</v>
      </c>
      <c r="I6" s="8" t="s">
        <v>45</v>
      </c>
      <c r="J6" s="8" t="s">
        <v>225</v>
      </c>
    </row>
    <row r="7" customFormat="false" ht="39.55" hidden="false" customHeight="false" outlineLevel="0" collapsed="false">
      <c r="A7" s="8" t="s">
        <v>226</v>
      </c>
      <c r="B7" s="8" t="s">
        <v>227</v>
      </c>
      <c r="C7" s="22" t="n">
        <v>12</v>
      </c>
      <c r="D7" s="22" t="n">
        <v>1</v>
      </c>
      <c r="E7" s="25" t="n">
        <v>93.47</v>
      </c>
      <c r="F7" s="6" t="n">
        <f aca="false">C7*D7*E7</f>
        <v>1121.64</v>
      </c>
      <c r="G7" s="6" t="n">
        <f aca="false">E7/(1+$E$14)</f>
        <v>75.9918699186992</v>
      </c>
      <c r="H7" s="6" t="n">
        <f aca="false">C7*D7*G7</f>
        <v>911.90243902439</v>
      </c>
      <c r="I7" s="8" t="s">
        <v>93</v>
      </c>
      <c r="J7" s="8" t="s">
        <v>228</v>
      </c>
    </row>
    <row r="8" customFormat="false" ht="39.55" hidden="false" customHeight="false" outlineLevel="0" collapsed="false">
      <c r="A8" s="16" t="s">
        <v>229</v>
      </c>
      <c r="B8" s="8" t="s">
        <v>230</v>
      </c>
      <c r="C8" s="22" t="n">
        <v>1</v>
      </c>
      <c r="D8" s="22" t="n">
        <v>3</v>
      </c>
      <c r="E8" s="25" t="n">
        <v>42.913333</v>
      </c>
      <c r="F8" s="6" t="n">
        <f aca="false">C8*D8*E8</f>
        <v>128.739999</v>
      </c>
      <c r="G8" s="6" t="n">
        <f aca="false">E8/(1+$E$14)</f>
        <v>34.8888886178862</v>
      </c>
      <c r="H8" s="6" t="n">
        <f aca="false">C8*D8*G8</f>
        <v>104.666665853659</v>
      </c>
      <c r="I8" s="16" t="s">
        <v>33</v>
      </c>
      <c r="J8" s="8" t="s">
        <v>231</v>
      </c>
    </row>
    <row r="9" customFormat="false" ht="26.85" hidden="false" customHeight="false" outlineLevel="0" collapsed="false">
      <c r="A9" s="16" t="s">
        <v>232</v>
      </c>
      <c r="B9" s="8" t="s">
        <v>233</v>
      </c>
      <c r="C9" s="22" t="n">
        <v>1</v>
      </c>
      <c r="D9" s="22" t="n">
        <v>2</v>
      </c>
      <c r="E9" s="25" t="n">
        <v>37.68</v>
      </c>
      <c r="F9" s="6" t="n">
        <f aca="false">C9*D9*E9</f>
        <v>75.36</v>
      </c>
      <c r="G9" s="6" t="n">
        <f aca="false">E9/(1+$E$14)</f>
        <v>30.6341463414634</v>
      </c>
      <c r="H9" s="6" t="n">
        <f aca="false">C9*D9*G9</f>
        <v>61.2682926829268</v>
      </c>
      <c r="I9" s="16" t="s">
        <v>138</v>
      </c>
      <c r="J9" s="8" t="s">
        <v>234</v>
      </c>
    </row>
    <row r="10" customFormat="false" ht="15" hidden="false" customHeight="false" outlineLevel="0" collapsed="false">
      <c r="A10" s="9" t="s">
        <v>235</v>
      </c>
      <c r="B10" s="9"/>
      <c r="C10" s="9"/>
      <c r="D10" s="9"/>
      <c r="E10" s="9"/>
      <c r="F10" s="10" t="n">
        <f aca="false">SUM(F5:F9)</f>
        <v>3437.459999</v>
      </c>
      <c r="G10" s="9"/>
      <c r="H10" s="10" t="n">
        <f aca="false">SUM(H5:H9)</f>
        <v>2794.68292601626</v>
      </c>
      <c r="I10" s="9"/>
      <c r="J10" s="9"/>
    </row>
    <row r="11" customFormat="false" ht="15" hidden="false" customHeight="false" outlineLevel="0" collapsed="false">
      <c r="A11" s="9" t="s">
        <v>236</v>
      </c>
      <c r="B11" s="9"/>
      <c r="C11" s="9"/>
      <c r="D11" s="9"/>
      <c r="E11" s="9"/>
      <c r="F11" s="33" t="n">
        <v>-123</v>
      </c>
      <c r="G11" s="9"/>
      <c r="H11" s="10" t="n">
        <f aca="false">F11/(1+$E$14)</f>
        <v>-100</v>
      </c>
      <c r="I11" s="9"/>
      <c r="J11" s="9" t="s">
        <v>237</v>
      </c>
    </row>
    <row r="12" customFormat="false" ht="15" hidden="false" customHeight="false" outlineLevel="0" collapsed="false">
      <c r="A12" s="9" t="s">
        <v>238</v>
      </c>
      <c r="B12" s="9"/>
      <c r="C12" s="9"/>
      <c r="D12" s="9"/>
      <c r="E12" s="9"/>
      <c r="F12" s="33" t="n">
        <v>0</v>
      </c>
      <c r="G12" s="9"/>
      <c r="H12" s="10" t="n">
        <f aca="false">F12/(1+$E$14)</f>
        <v>0</v>
      </c>
      <c r="I12" s="9"/>
      <c r="J12" s="9" t="s">
        <v>239</v>
      </c>
    </row>
    <row r="13" customFormat="false" ht="15" hidden="false" customHeight="false" outlineLevel="0" collapsed="false">
      <c r="A13" s="9" t="s">
        <v>154</v>
      </c>
      <c r="B13" s="9"/>
      <c r="C13" s="9"/>
      <c r="D13" s="9"/>
      <c r="E13" s="9"/>
      <c r="F13" s="10" t="n">
        <f aca="false">F10+F11+F12</f>
        <v>3314.459999</v>
      </c>
      <c r="G13" s="9"/>
      <c r="H13" s="10" t="n">
        <f aca="false">H10+H11+H12</f>
        <v>2694.68292601626</v>
      </c>
      <c r="I13" s="9"/>
      <c r="J13" s="9"/>
    </row>
    <row r="14" customFormat="false" ht="15" hidden="false" customHeight="false" outlineLevel="0" collapsed="false">
      <c r="A14" s="34" t="s">
        <v>240</v>
      </c>
      <c r="B14" s="34"/>
      <c r="C14" s="34"/>
      <c r="D14" s="34"/>
      <c r="E14" s="35" t="n">
        <v>0.23</v>
      </c>
      <c r="F14" s="36" t="n">
        <f aca="false">F13-H13</f>
        <v>619.77707298374</v>
      </c>
      <c r="G14" s="34"/>
      <c r="H14" s="34"/>
      <c r="I14" s="34"/>
      <c r="J14" s="34" t="s">
        <v>241</v>
      </c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customFormat="false" ht="45.75" hidden="false" customHeight="true" outlineLevel="0" collapsed="false">
      <c r="A16" s="37" t="s">
        <v>242</v>
      </c>
      <c r="B16" s="37"/>
      <c r="C16" s="37"/>
      <c r="D16" s="37"/>
      <c r="E16" s="37"/>
      <c r="F16" s="37"/>
      <c r="G16" s="37"/>
      <c r="H16" s="37"/>
      <c r="I16" s="37"/>
      <c r="J16" s="37"/>
    </row>
    <row r="17" customFormat="false" ht="45.75" hidden="false" customHeight="true" outlineLevel="0" collapsed="false">
      <c r="A17" s="37" t="s">
        <v>243</v>
      </c>
      <c r="B17" s="37"/>
      <c r="C17" s="37"/>
      <c r="D17" s="37"/>
      <c r="E17" s="37"/>
      <c r="F17" s="37"/>
      <c r="G17" s="37"/>
      <c r="H17" s="37"/>
      <c r="I17" s="37"/>
      <c r="J17" s="37"/>
    </row>
    <row r="18" customFormat="false" ht="45.75" hidden="false" customHeight="true" outlineLevel="0" collapsed="false">
      <c r="A18" s="37" t="s">
        <v>244</v>
      </c>
      <c r="B18" s="37"/>
      <c r="C18" s="37"/>
      <c r="D18" s="37"/>
      <c r="E18" s="37"/>
      <c r="F18" s="37"/>
      <c r="G18" s="37"/>
      <c r="H18" s="37"/>
      <c r="I18" s="37"/>
      <c r="J18" s="37"/>
    </row>
  </sheetData>
  <mergeCells count="3">
    <mergeCell ref="A16:J16"/>
    <mergeCell ref="A17:J17"/>
    <mergeCell ref="A18:J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6"/>
    <col collapsed="false" customWidth="true" hidden="false" outlineLevel="0" max="3" min="3" style="0" width="46"/>
    <col collapsed="false" customWidth="true" hidden="false" outlineLevel="0" max="4" min="4" style="0" width="44"/>
    <col collapsed="false" customWidth="true" hidden="false" outlineLevel="0" max="5" min="5" style="0" width="7"/>
    <col collapsed="false" customWidth="true" hidden="false" outlineLevel="0" max="6" min="6" style="0" width="16"/>
    <col collapsed="false" customWidth="true" hidden="false" outlineLevel="0" max="7" min="7" style="0" width="12"/>
    <col collapsed="false" customWidth="true" hidden="false" outlineLevel="0" max="9" min="8" style="0" width="14"/>
    <col collapsed="false" customWidth="true" hidden="false" outlineLevel="0" max="10" min="10" style="0" width="60"/>
  </cols>
  <sheetData>
    <row r="1" customFormat="false" ht="17.35" hidden="false" customHeight="false" outlineLevel="0" collapsed="false">
      <c r="A1" s="1" t="s">
        <v>245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246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26.85" hidden="false" customHeight="false" outlineLevel="0" collapsed="false">
      <c r="A4" s="4" t="s">
        <v>247</v>
      </c>
      <c r="B4" s="4" t="s">
        <v>248</v>
      </c>
      <c r="C4" s="4" t="s">
        <v>249</v>
      </c>
      <c r="D4" s="4" t="s">
        <v>250</v>
      </c>
      <c r="E4" s="4" t="s">
        <v>89</v>
      </c>
      <c r="F4" s="4" t="s">
        <v>251</v>
      </c>
      <c r="G4" s="4" t="s">
        <v>252</v>
      </c>
      <c r="H4" s="4" t="s">
        <v>217</v>
      </c>
      <c r="I4" s="4" t="s">
        <v>218</v>
      </c>
      <c r="J4" s="4" t="s">
        <v>149</v>
      </c>
    </row>
    <row r="5" customFormat="false" ht="52.2" hidden="false" customHeight="false" outlineLevel="0" collapsed="false">
      <c r="A5" s="8" t="s">
        <v>93</v>
      </c>
      <c r="B5" s="8" t="s">
        <v>253</v>
      </c>
      <c r="C5" s="8" t="s">
        <v>254</v>
      </c>
      <c r="D5" s="38" t="s">
        <v>255</v>
      </c>
      <c r="E5" s="5" t="n">
        <f aca="false">Necessidade!$C$29</f>
        <v>12</v>
      </c>
      <c r="F5" s="39"/>
      <c r="G5" s="40" t="s">
        <v>256</v>
      </c>
      <c r="H5" s="6" t="str">
        <f aca="false">IF(ISNUMBER(F5),IF(UPPER(G5)="S",F5/(1+$B$17),F5),"")</f>
        <v/>
      </c>
      <c r="I5" s="6" t="str">
        <f aca="false">IF(ISNUMBER(H5),E5*H5,"")</f>
        <v/>
      </c>
      <c r="J5" s="8" t="s">
        <v>257</v>
      </c>
    </row>
    <row r="6" customFormat="false" ht="15" hidden="false" customHeight="false" outlineLevel="0" collapsed="false">
      <c r="A6" s="8" t="s">
        <v>33</v>
      </c>
      <c r="B6" s="8" t="s">
        <v>258</v>
      </c>
      <c r="C6" s="8" t="s">
        <v>259</v>
      </c>
      <c r="D6" s="38" t="s">
        <v>260</v>
      </c>
      <c r="E6" s="5" t="n">
        <f aca="false">Necessidade!$C$30</f>
        <v>3</v>
      </c>
      <c r="F6" s="39"/>
      <c r="G6" s="40" t="s">
        <v>256</v>
      </c>
      <c r="H6" s="6" t="str">
        <f aca="false">IF(ISNUMBER(F6),IF(UPPER(G6)="S",F6/(1+$B$17),F6),"")</f>
        <v/>
      </c>
      <c r="I6" s="6" t="str">
        <f aca="false">IF(ISNUMBER(H6),E6*H6,"")</f>
        <v/>
      </c>
      <c r="J6" s="8" t="s">
        <v>261</v>
      </c>
    </row>
    <row r="7" customFormat="false" ht="39.55" hidden="false" customHeight="false" outlineLevel="0" collapsed="false">
      <c r="A7" s="8" t="s">
        <v>262</v>
      </c>
      <c r="B7" s="8" t="s">
        <v>263</v>
      </c>
      <c r="C7" s="8" t="s">
        <v>264</v>
      </c>
      <c r="D7" s="38" t="s">
        <v>265</v>
      </c>
      <c r="E7" s="5" t="n">
        <v>3</v>
      </c>
      <c r="F7" s="39"/>
      <c r="G7" s="40" t="s">
        <v>256</v>
      </c>
      <c r="H7" s="6" t="str">
        <f aca="false">IF(ISNUMBER(F7),IF(UPPER(G7)="S",F7/(1+$B$17),F7),"")</f>
        <v/>
      </c>
      <c r="I7" s="6" t="str">
        <f aca="false">IF(ISNUMBER(H7),E7*H7,"")</f>
        <v/>
      </c>
      <c r="J7" s="8" t="s">
        <v>266</v>
      </c>
    </row>
    <row r="8" customFormat="false" ht="39.55" hidden="false" customHeight="false" outlineLevel="0" collapsed="false">
      <c r="A8" s="8" t="s">
        <v>267</v>
      </c>
      <c r="B8" s="8" t="s">
        <v>268</v>
      </c>
      <c r="C8" s="8" t="s">
        <v>269</v>
      </c>
      <c r="D8" s="38" t="s">
        <v>270</v>
      </c>
      <c r="E8" s="5" t="n">
        <v>1</v>
      </c>
      <c r="F8" s="39"/>
      <c r="G8" s="40" t="s">
        <v>256</v>
      </c>
      <c r="H8" s="6" t="str">
        <f aca="false">IF(ISNUMBER(F8),IF(UPPER(G8)="S",F8/(1+$B$17),F8),"")</f>
        <v/>
      </c>
      <c r="I8" s="6" t="str">
        <f aca="false">IF(ISNUMBER(H8),E8*H8,"")</f>
        <v/>
      </c>
      <c r="J8" s="8" t="s">
        <v>271</v>
      </c>
    </row>
    <row r="9" customFormat="false" ht="26.85" hidden="false" customHeight="false" outlineLevel="0" collapsed="false">
      <c r="A9" s="8" t="s">
        <v>39</v>
      </c>
      <c r="B9" s="8" t="s">
        <v>272</v>
      </c>
      <c r="C9" s="8" t="s">
        <v>273</v>
      </c>
      <c r="D9" s="38" t="s">
        <v>274</v>
      </c>
      <c r="E9" s="5" t="n">
        <f aca="false">Necessidade!$C$32</f>
        <v>3</v>
      </c>
      <c r="F9" s="39"/>
      <c r="G9" s="40" t="s">
        <v>256</v>
      </c>
      <c r="H9" s="6" t="str">
        <f aca="false">IF(ISNUMBER(F9),IF(UPPER(G9)="S",F9/(1+$B$17),F9),"")</f>
        <v/>
      </c>
      <c r="I9" s="6" t="str">
        <f aca="false">IF(ISNUMBER(H9),E9*H9,"")</f>
        <v/>
      </c>
      <c r="J9" s="8" t="s">
        <v>275</v>
      </c>
    </row>
    <row r="10" customFormat="false" ht="26.85" hidden="false" customHeight="false" outlineLevel="0" collapsed="false">
      <c r="A10" s="8" t="s">
        <v>45</v>
      </c>
      <c r="B10" s="8" t="s">
        <v>272</v>
      </c>
      <c r="C10" s="8" t="s">
        <v>276</v>
      </c>
      <c r="D10" s="38" t="s">
        <v>274</v>
      </c>
      <c r="E10" s="5" t="n">
        <f aca="false">Necessidade!$C$33</f>
        <v>16</v>
      </c>
      <c r="F10" s="39"/>
      <c r="G10" s="40" t="s">
        <v>256</v>
      </c>
      <c r="H10" s="6" t="str">
        <f aca="false">IF(ISNUMBER(F10),IF(UPPER(G10)="S",F10/(1+$B$17),F10),"")</f>
        <v/>
      </c>
      <c r="I10" s="6" t="str">
        <f aca="false">IF(ISNUMBER(H10),E10*H10,"")</f>
        <v/>
      </c>
      <c r="J10" s="8" t="s">
        <v>277</v>
      </c>
    </row>
    <row r="11" customFormat="false" ht="26.85" hidden="false" customHeight="false" outlineLevel="0" collapsed="false">
      <c r="A11" s="8" t="s">
        <v>138</v>
      </c>
      <c r="B11" s="8" t="s">
        <v>278</v>
      </c>
      <c r="C11" s="8" t="s">
        <v>279</v>
      </c>
      <c r="D11" s="38" t="s">
        <v>280</v>
      </c>
      <c r="E11" s="5" t="n">
        <f aca="false">Necessidade!$C$34</f>
        <v>2</v>
      </c>
      <c r="F11" s="39"/>
      <c r="G11" s="40" t="s">
        <v>256</v>
      </c>
      <c r="H11" s="6" t="str">
        <f aca="false">IF(ISNUMBER(F11),IF(UPPER(G11)="S",F11/(1+$B$17),F11),"")</f>
        <v/>
      </c>
      <c r="I11" s="6" t="str">
        <f aca="false">IF(ISNUMBER(H11),E11*H11,"")</f>
        <v/>
      </c>
      <c r="J11" s="8" t="s">
        <v>281</v>
      </c>
    </row>
    <row r="12" customFormat="false" ht="15" hidden="false" customHeight="false" outlineLevel="0" collapsed="false">
      <c r="A12" s="8" t="s">
        <v>141</v>
      </c>
      <c r="B12" s="8" t="s">
        <v>67</v>
      </c>
      <c r="C12" s="8" t="s">
        <v>282</v>
      </c>
      <c r="D12" s="5"/>
      <c r="E12" s="5" t="n">
        <f aca="false">Necessidade!$C$35</f>
        <v>1</v>
      </c>
      <c r="F12" s="25"/>
      <c r="G12" s="41"/>
      <c r="H12" s="6"/>
      <c r="I12" s="6"/>
      <c r="J12" s="8" t="s">
        <v>283</v>
      </c>
    </row>
    <row r="13" customFormat="false" ht="39.55" hidden="false" customHeight="false" outlineLevel="0" collapsed="false">
      <c r="A13" s="8" t="s">
        <v>69</v>
      </c>
      <c r="B13" s="8" t="s">
        <v>238</v>
      </c>
      <c r="C13" s="8" t="s">
        <v>284</v>
      </c>
      <c r="D13" s="38" t="s">
        <v>285</v>
      </c>
      <c r="E13" s="5" t="n">
        <v>1</v>
      </c>
      <c r="F13" s="39"/>
      <c r="G13" s="40" t="s">
        <v>256</v>
      </c>
      <c r="H13" s="6" t="str">
        <f aca="false">IF(ISNUMBER(F13),IF(UPPER(G13)="S",F13/(1+$B$17),F13),"")</f>
        <v/>
      </c>
      <c r="I13" s="6" t="str">
        <f aca="false">IF(ISNUMBER(H13),E13*H13,"")</f>
        <v/>
      </c>
      <c r="J13" s="8" t="s">
        <v>286</v>
      </c>
    </row>
    <row r="14" customFormat="false" ht="15" hidden="false" customHeight="false" outlineLevel="0" collapsed="false">
      <c r="A14" s="9" t="s">
        <v>287</v>
      </c>
      <c r="B14" s="9"/>
      <c r="C14" s="9"/>
      <c r="D14" s="9"/>
      <c r="E14" s="9"/>
      <c r="F14" s="9"/>
      <c r="G14" s="9"/>
      <c r="H14" s="9"/>
      <c r="I14" s="10" t="n">
        <f aca="false">SUM(I5:I13)</f>
        <v>0</v>
      </c>
      <c r="J14" s="9"/>
    </row>
    <row r="15" customFormat="false" ht="15" hidden="false" customHeight="false" outlineLevel="0" collapsed="false">
      <c r="A15" s="9" t="s">
        <v>183</v>
      </c>
      <c r="B15" s="9"/>
      <c r="C15" s="9"/>
      <c r="D15" s="9"/>
      <c r="E15" s="9"/>
      <c r="F15" s="9"/>
      <c r="G15" s="9"/>
      <c r="H15" s="9"/>
      <c r="I15" s="10" t="n">
        <f aca="false">I14*$B$17</f>
        <v>0</v>
      </c>
      <c r="J15" s="9"/>
    </row>
    <row r="16" customFormat="false" ht="15" hidden="false" customHeight="false" outlineLevel="0" collapsed="false">
      <c r="A16" s="9" t="s">
        <v>184</v>
      </c>
      <c r="B16" s="9"/>
      <c r="C16" s="9"/>
      <c r="D16" s="9"/>
      <c r="E16" s="9"/>
      <c r="F16" s="9"/>
      <c r="G16" s="9"/>
      <c r="H16" s="9"/>
      <c r="I16" s="10" t="n">
        <f aca="false">I14+I15</f>
        <v>0</v>
      </c>
      <c r="J16" s="9"/>
    </row>
    <row r="17" customFormat="false" ht="15" hidden="false" customHeight="false" outlineLevel="0" collapsed="false">
      <c r="A17" s="34" t="s">
        <v>288</v>
      </c>
      <c r="B17" s="35" t="n">
        <v>0.23</v>
      </c>
      <c r="C17" s="34"/>
      <c r="D17" s="34"/>
      <c r="E17" s="34"/>
      <c r="F17" s="34"/>
      <c r="G17" s="34"/>
      <c r="H17" s="34"/>
      <c r="I17" s="34"/>
      <c r="J17" s="34"/>
    </row>
    <row r="18" customFormat="false" ht="15" hidden="false" customHeight="false" outlineLevel="0" collapsed="false">
      <c r="A18" s="34" t="s">
        <v>289</v>
      </c>
      <c r="B18" s="34"/>
      <c r="C18" s="34"/>
      <c r="D18" s="34"/>
      <c r="E18" s="34"/>
      <c r="F18" s="34"/>
      <c r="G18" s="34"/>
      <c r="H18" s="34"/>
      <c r="I18" s="34" t="n">
        <f aca="false">COUNTBLANK(F5:F13)-1</f>
        <v>8</v>
      </c>
      <c r="J18" s="34"/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customFormat="false" ht="45.75" hidden="false" customHeight="true" outlineLevel="0" collapsed="false">
      <c r="A20" s="37" t="s">
        <v>290</v>
      </c>
      <c r="B20" s="37"/>
      <c r="C20" s="37"/>
      <c r="D20" s="37"/>
      <c r="E20" s="37"/>
      <c r="F20" s="37"/>
      <c r="G20" s="37"/>
      <c r="H20" s="37"/>
      <c r="I20" s="37"/>
      <c r="J20" s="37"/>
    </row>
    <row r="21" customFormat="false" ht="45.75" hidden="false" customHeight="true" outlineLevel="0" collapsed="false">
      <c r="A21" s="37" t="s">
        <v>291</v>
      </c>
      <c r="B21" s="37"/>
      <c r="C21" s="37"/>
      <c r="D21" s="37"/>
      <c r="E21" s="37"/>
      <c r="F21" s="37"/>
      <c r="G21" s="37"/>
      <c r="H21" s="37"/>
      <c r="I21" s="37"/>
      <c r="J21" s="37"/>
    </row>
    <row r="22" customFormat="false" ht="45.75" hidden="false" customHeight="true" outlineLevel="0" collapsed="false">
      <c r="A22" s="37" t="s">
        <v>292</v>
      </c>
      <c r="B22" s="37"/>
      <c r="C22" s="37"/>
      <c r="D22" s="37"/>
      <c r="E22" s="37"/>
      <c r="F22" s="37"/>
      <c r="G22" s="37"/>
      <c r="H22" s="37"/>
      <c r="I22" s="37"/>
      <c r="J22" s="37"/>
    </row>
  </sheetData>
  <mergeCells count="3">
    <mergeCell ref="A20:J20"/>
    <mergeCell ref="A21:J21"/>
    <mergeCell ref="A22:J22"/>
  </mergeCells>
  <hyperlinks>
    <hyperlink ref="D5" r:id="rId2" display="https://www.vistaprint.ie/signs-posters/banners/mesh-banners"/>
    <hyperlink ref="D6" r:id="rId3" display="https://www.vistaprint.ie/signs-posters/banners/vinyl-banners"/>
    <hyperlink ref="D7" r:id="rId4" display="https://www.vistaprint.ie/labels-stickers/stickers/window-lettering"/>
    <hyperlink ref="D8" r:id="rId5" display="https://www.vistaprint.ie/signs-posters/window-decals"/>
    <hyperlink ref="D9" r:id="rId6" display="https://www.vistaprint.ie/signs-posters/banners/roller-banners"/>
    <hyperlink ref="D10" r:id="rId7" display="https://www.vistaprint.ie/signs-posters/banners/roller-banners"/>
    <hyperlink ref="D11" r:id="rId8" display="https://www.vistaprint.ie/signs-posters/plastic-signs"/>
    <hyperlink ref="D13" r:id="rId9" display="https://www.vistaprint.ie/delivery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1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7"/>
    <col collapsed="false" customWidth="true" hidden="false" outlineLevel="0" max="4" min="3" style="0" width="14"/>
    <col collapsed="false" customWidth="true" hidden="false" outlineLevel="0" max="6" min="5" style="0" width="16"/>
    <col collapsed="false" customWidth="true" hidden="false" outlineLevel="0" max="10" min="7" style="0" width="14"/>
    <col collapsed="false" customWidth="true" hidden="false" outlineLevel="0" max="11" min="11" style="0" width="60"/>
  </cols>
  <sheetData>
    <row r="1" customFormat="false" ht="17.35" hidden="false" customHeight="false" outlineLevel="0" collapsed="false">
      <c r="A1" s="1" t="s">
        <v>293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false" outlineLevel="0" collapsed="false">
      <c r="A2" s="3" t="s">
        <v>294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customFormat="false" ht="26.85" hidden="false" customHeight="false" outlineLevel="0" collapsed="false">
      <c r="A4" s="4" t="s">
        <v>295</v>
      </c>
      <c r="B4" s="4" t="s">
        <v>89</v>
      </c>
      <c r="C4" s="4" t="s">
        <v>296</v>
      </c>
      <c r="D4" s="4" t="s">
        <v>297</v>
      </c>
      <c r="E4" s="4" t="s">
        <v>298</v>
      </c>
      <c r="F4" s="4" t="s">
        <v>299</v>
      </c>
      <c r="G4" s="4" t="s">
        <v>300</v>
      </c>
      <c r="H4" s="4" t="s">
        <v>301</v>
      </c>
      <c r="I4" s="4" t="s">
        <v>302</v>
      </c>
      <c r="J4" s="4" t="s">
        <v>303</v>
      </c>
      <c r="K4" s="4" t="s">
        <v>149</v>
      </c>
    </row>
    <row r="5" customFormat="false" ht="26.85" hidden="false" customHeight="false" outlineLevel="0" collapsed="false">
      <c r="A5" s="5" t="s">
        <v>93</v>
      </c>
      <c r="B5" s="5" t="n">
        <f aca="false">Necessidade!$C$29</f>
        <v>12</v>
      </c>
      <c r="C5" s="42" t="n">
        <f aca="false">IF(ISNUMBER('Helloprint 24-09'!$G$7),'Helloprint 24-09'!$G$7,"")</f>
        <v>75.9918699186992</v>
      </c>
      <c r="D5" s="6" t="n">
        <f aca="false">IF(ISNUMBER(C5),$B5*C5,"")</f>
        <v>911.90243902439</v>
      </c>
      <c r="E5" s="25" t="n">
        <v>70</v>
      </c>
      <c r="F5" s="6" t="n">
        <f aca="false">IF(ISNUMBER(E5),$B5*E5,"")</f>
        <v>840</v>
      </c>
      <c r="G5" s="25" t="n">
        <v>110</v>
      </c>
      <c r="H5" s="6" t="n">
        <f aca="false">IF(ISNUMBER(G5),$B5*G5,"")</f>
        <v>1320</v>
      </c>
      <c r="I5" s="43" t="str">
        <f aca="false">IF(ISNUMBER(Vistaprint!$H$5),Vistaprint!$H$5,"")</f>
        <v/>
      </c>
      <c r="J5" s="7" t="str">
        <f aca="false">IF(ISNUMBER(I5),$B5*I5,"")</f>
        <v/>
      </c>
      <c r="K5" s="8" t="s">
        <v>304</v>
      </c>
    </row>
    <row r="6" customFormat="false" ht="26.85" hidden="false" customHeight="false" outlineLevel="0" collapsed="false">
      <c r="A6" s="5" t="s">
        <v>33</v>
      </c>
      <c r="B6" s="5" t="n">
        <f aca="false">Necessidade!$C$30</f>
        <v>3</v>
      </c>
      <c r="C6" s="42" t="n">
        <f aca="false">IF(ISNUMBER('Helloprint 24-09'!$G$8),'Helloprint 24-09'!$G$8,"")</f>
        <v>34.8888886178862</v>
      </c>
      <c r="D6" s="6" t="n">
        <f aca="false">IF(ISNUMBER(C6),$B6*C6,"")</f>
        <v>104.666665853659</v>
      </c>
      <c r="E6" s="25" t="n">
        <v>74</v>
      </c>
      <c r="F6" s="6" t="n">
        <f aca="false">IF(ISNUMBER(E6),$B6*E6,"")</f>
        <v>222</v>
      </c>
      <c r="G6" s="25" t="n">
        <v>110</v>
      </c>
      <c r="H6" s="6" t="n">
        <f aca="false">IF(ISNUMBER(G6),$B6*G6,"")</f>
        <v>330</v>
      </c>
      <c r="I6" s="43" t="str">
        <f aca="false">IF(ISNUMBER(Vistaprint!$H$6),Vistaprint!$H$6,"")</f>
        <v/>
      </c>
      <c r="J6" s="7" t="str">
        <f aca="false">IF(ISNUMBER(I6),$B6*I6,"")</f>
        <v/>
      </c>
      <c r="K6" s="8" t="s">
        <v>305</v>
      </c>
    </row>
    <row r="7" customFormat="false" ht="26.85" hidden="false" customHeight="false" outlineLevel="0" collapsed="false">
      <c r="A7" s="5" t="s">
        <v>120</v>
      </c>
      <c r="B7" s="5" t="n">
        <f aca="false">Necessidade!$C$31</f>
        <v>4</v>
      </c>
      <c r="C7" s="44"/>
      <c r="D7" s="45" t="str">
        <f aca="false">IF(ISNUMBER(C7),$B7*C7,"")</f>
        <v/>
      </c>
      <c r="E7" s="46"/>
      <c r="F7" s="45" t="str">
        <f aca="false">IF(ISNUMBER(E7),$B7*E7,"")</f>
        <v/>
      </c>
      <c r="G7" s="46"/>
      <c r="H7" s="45" t="str">
        <f aca="false">IF(ISNUMBER(G7),$B7*G7,"")</f>
        <v/>
      </c>
      <c r="I7" s="43" t="str">
        <f aca="false">IF(AND(ISNUMBER(Vistaprint!$H$7),ISNUMBER(Vistaprint!$H$8)),(Vistaprint!$I$7+Vistaprint!$I$8)/(Vistaprint!$E$7+Vistaprint!$E$8),"")</f>
        <v/>
      </c>
      <c r="J7" s="7" t="str">
        <f aca="false">IF(ISNUMBER(I7),$B7*I7,"")</f>
        <v/>
      </c>
      <c r="K7" s="8" t="s">
        <v>306</v>
      </c>
    </row>
    <row r="8" customFormat="false" ht="26.85" hidden="false" customHeight="false" outlineLevel="0" collapsed="false">
      <c r="A8" s="5" t="s">
        <v>39</v>
      </c>
      <c r="B8" s="5" t="n">
        <f aca="false">Necessidade!$C$32</f>
        <v>3</v>
      </c>
      <c r="C8" s="42" t="n">
        <f aca="false">IF(ISNUMBER('Helloprint 24-09'!$G$5),'Helloprint 24-09'!$G$5,"")</f>
        <v>118.991869918699</v>
      </c>
      <c r="D8" s="6" t="n">
        <f aca="false">IF(ISNUMBER(C8),$B8*C8,"")</f>
        <v>356.975609756098</v>
      </c>
      <c r="E8" s="25" t="n">
        <v>149</v>
      </c>
      <c r="F8" s="6" t="n">
        <f aca="false">IF(ISNUMBER(E8),$B8*E8,"")</f>
        <v>447</v>
      </c>
      <c r="G8" s="25" t="n">
        <v>333</v>
      </c>
      <c r="H8" s="6" t="n">
        <f aca="false">IF(ISNUMBER(G8),$B8*G8,"")</f>
        <v>999</v>
      </c>
      <c r="I8" s="43" t="str">
        <f aca="false">IF(ISNUMBER(Vistaprint!$H$9),Vistaprint!$H$9,"")</f>
        <v/>
      </c>
      <c r="J8" s="7" t="str">
        <f aca="false">IF(ISNUMBER(I8),$B8*I8,"")</f>
        <v/>
      </c>
      <c r="K8" s="8" t="s">
        <v>307</v>
      </c>
    </row>
    <row r="9" customFormat="false" ht="26.85" hidden="false" customHeight="false" outlineLevel="0" collapsed="false">
      <c r="A9" s="5" t="s">
        <v>45</v>
      </c>
      <c r="B9" s="5" t="n">
        <f aca="false">Necessidade!$C$33</f>
        <v>16</v>
      </c>
      <c r="C9" s="42" t="n">
        <f aca="false">IF(ISNUMBER('Helloprint 24-09'!$G$6),'Helloprint 24-09'!$G$6,"")</f>
        <v>84.9918699186992</v>
      </c>
      <c r="D9" s="6" t="n">
        <f aca="false">IF(ISNUMBER(C9),$B9*C9,"")</f>
        <v>1359.86991869919</v>
      </c>
      <c r="E9" s="25" t="n">
        <v>99</v>
      </c>
      <c r="F9" s="6" t="n">
        <f aca="false">IF(ISNUMBER(E9),$B9*E9,"")</f>
        <v>1584</v>
      </c>
      <c r="G9" s="25" t="n">
        <v>90</v>
      </c>
      <c r="H9" s="6" t="n">
        <f aca="false">IF(ISNUMBER(G9),$B9*G9,"")</f>
        <v>1440</v>
      </c>
      <c r="I9" s="43" t="str">
        <f aca="false">IF(ISNUMBER(Vistaprint!$H$10),Vistaprint!$H$10,"")</f>
        <v/>
      </c>
      <c r="J9" s="7" t="str">
        <f aca="false">IF(ISNUMBER(I9),$B9*I9,"")</f>
        <v/>
      </c>
      <c r="K9" s="8" t="s">
        <v>308</v>
      </c>
    </row>
    <row r="10" customFormat="false" ht="26.85" hidden="false" customHeight="false" outlineLevel="0" collapsed="false">
      <c r="A10" s="5" t="s">
        <v>138</v>
      </c>
      <c r="B10" s="5" t="n">
        <f aca="false">Necessidade!$C$34</f>
        <v>2</v>
      </c>
      <c r="C10" s="42" t="n">
        <f aca="false">IF(ISNUMBER('Helloprint 24-09'!$G$9),'Helloprint 24-09'!$G$9,"")</f>
        <v>30.6341463414634</v>
      </c>
      <c r="D10" s="6" t="n">
        <f aca="false">IF(ISNUMBER(C10),$B10*C10,"")</f>
        <v>61.2682926829268</v>
      </c>
      <c r="E10" s="46"/>
      <c r="F10" s="45" t="str">
        <f aca="false">IF(ISNUMBER(E10),$B10*E10,"")</f>
        <v/>
      </c>
      <c r="G10" s="25" t="n">
        <v>20</v>
      </c>
      <c r="H10" s="6" t="n">
        <f aca="false">IF(ISNUMBER(G10),$B10*G10,"")</f>
        <v>40</v>
      </c>
      <c r="I10" s="43" t="str">
        <f aca="false">IF(ISNUMBER(Vistaprint!$H$11),Vistaprint!$H$11,"")</f>
        <v/>
      </c>
      <c r="J10" s="7" t="str">
        <f aca="false">IF(ISNUMBER(I10),$B10*I10,"")</f>
        <v/>
      </c>
      <c r="K10" s="8" t="s">
        <v>309</v>
      </c>
    </row>
    <row r="11" customFormat="false" ht="15" hidden="false" customHeight="false" outlineLevel="0" collapsed="false">
      <c r="A11" s="5" t="s">
        <v>141</v>
      </c>
      <c r="B11" s="5" t="n">
        <f aca="false">Necessidade!$C$35</f>
        <v>1</v>
      </c>
      <c r="C11" s="44"/>
      <c r="D11" s="45" t="str">
        <f aca="false">IF(ISNUMBER(C11),$B11*C11,"")</f>
        <v/>
      </c>
      <c r="E11" s="46"/>
      <c r="F11" s="45" t="str">
        <f aca="false">IF(ISNUMBER(E11),$B11*E11,"")</f>
        <v/>
      </c>
      <c r="G11" s="46"/>
      <c r="H11" s="45" t="str">
        <f aca="false">IF(ISNUMBER(G11),$B11*G11,"")</f>
        <v/>
      </c>
      <c r="I11" s="44"/>
      <c r="J11" s="45" t="str">
        <f aca="false">IF(ISNUMBER(I11),$B11*I11,"")</f>
        <v/>
      </c>
      <c r="K11" s="8" t="s">
        <v>310</v>
      </c>
    </row>
    <row r="12" customFormat="false" ht="15" hidden="false" customHeight="false" outlineLevel="0" collapsed="false">
      <c r="A12" s="5" t="s">
        <v>69</v>
      </c>
      <c r="B12" s="5" t="n">
        <v>1</v>
      </c>
      <c r="C12" s="42" t="n">
        <f aca="false">'Helloprint 24-09'!$H$12</f>
        <v>0</v>
      </c>
      <c r="D12" s="6" t="n">
        <f aca="false">IF(ISNUMBER(C12),$B12*C12,"")</f>
        <v>0</v>
      </c>
      <c r="E12" s="25" t="n">
        <v>15</v>
      </c>
      <c r="F12" s="6" t="n">
        <f aca="false">IF(ISNUMBER(E12),$B12*E12,"")</f>
        <v>15</v>
      </c>
      <c r="G12" s="46"/>
      <c r="H12" s="45" t="str">
        <f aca="false">IF(ISNUMBER(G12),$B12*G12,"")</f>
        <v/>
      </c>
      <c r="I12" s="43" t="str">
        <f aca="false">IF(ISNUMBER(Vistaprint!$H$13),Vistaprint!$H$13,"")</f>
        <v/>
      </c>
      <c r="J12" s="7" t="str">
        <f aca="false">IF(ISNUMBER(I12),$B12*I12,"")</f>
        <v/>
      </c>
      <c r="K12" s="5" t="s">
        <v>311</v>
      </c>
    </row>
    <row r="13" customFormat="false" ht="15" hidden="false" customHeight="false" outlineLevel="0" collapsed="false">
      <c r="A13" s="5" t="s">
        <v>312</v>
      </c>
      <c r="B13" s="5" t="n">
        <v>1</v>
      </c>
      <c r="C13" s="42" t="n">
        <f aca="false">'Helloprint 24-09'!$H$11</f>
        <v>-100</v>
      </c>
      <c r="D13" s="6" t="n">
        <f aca="false">IF(ISNUMBER(C13),$B13*C13,"")</f>
        <v>-100</v>
      </c>
      <c r="E13" s="25" t="n">
        <v>0</v>
      </c>
      <c r="F13" s="6" t="n">
        <f aca="false">IF(ISNUMBER(E13),$B13*E13,"")</f>
        <v>0</v>
      </c>
      <c r="G13" s="25" t="n">
        <v>0</v>
      </c>
      <c r="H13" s="6" t="n">
        <f aca="false">IF(ISNUMBER(G13),$B13*G13,"")</f>
        <v>0</v>
      </c>
      <c r="I13" s="25" t="n">
        <v>0</v>
      </c>
      <c r="J13" s="6" t="n">
        <f aca="false">IF(ISNUMBER(I13),$B13*I13,"")</f>
        <v>0</v>
      </c>
      <c r="K13" s="5" t="s">
        <v>313</v>
      </c>
    </row>
    <row r="14" customFormat="false" ht="15" hidden="false" customHeight="false" outlineLevel="0" collapsed="false">
      <c r="A14" s="9" t="s">
        <v>314</v>
      </c>
      <c r="B14" s="9"/>
      <c r="C14" s="9"/>
      <c r="D14" s="10" t="n">
        <f aca="false">SUM(D5:D13)</f>
        <v>2694.68292601626</v>
      </c>
      <c r="E14" s="9"/>
      <c r="F14" s="10" t="n">
        <f aca="false">SUM(F5:F13)</f>
        <v>3108</v>
      </c>
      <c r="G14" s="9"/>
      <c r="H14" s="10" t="n">
        <f aca="false">SUM(H5:H13)</f>
        <v>4129</v>
      </c>
      <c r="I14" s="9"/>
      <c r="J14" s="10" t="n">
        <f aca="false">SUM(J5:J13)</f>
        <v>0</v>
      </c>
      <c r="K14" s="9"/>
    </row>
    <row r="15" customFormat="false" ht="15" hidden="false" customHeight="false" outlineLevel="0" collapsed="false">
      <c r="A15" s="9" t="s">
        <v>183</v>
      </c>
      <c r="B15" s="32" t="n">
        <v>0.23</v>
      </c>
      <c r="C15" s="9"/>
      <c r="D15" s="10" t="n">
        <f aca="false">D14*$B$15</f>
        <v>619.77707298374</v>
      </c>
      <c r="E15" s="9"/>
      <c r="F15" s="10" t="n">
        <f aca="false">F14*$B$15</f>
        <v>714.84</v>
      </c>
      <c r="G15" s="9"/>
      <c r="H15" s="10" t="n">
        <f aca="false">H14*$B$15</f>
        <v>949.67</v>
      </c>
      <c r="I15" s="9"/>
      <c r="J15" s="10" t="n">
        <f aca="false">J14*$B$15</f>
        <v>0</v>
      </c>
      <c r="K15" s="9"/>
    </row>
    <row r="16" customFormat="false" ht="15" hidden="false" customHeight="false" outlineLevel="0" collapsed="false">
      <c r="A16" s="9" t="s">
        <v>184</v>
      </c>
      <c r="B16" s="9"/>
      <c r="C16" s="9"/>
      <c r="D16" s="10" t="n">
        <f aca="false">D14+D15</f>
        <v>3314.459999</v>
      </c>
      <c r="E16" s="9"/>
      <c r="F16" s="10" t="n">
        <f aca="false">F14+F15</f>
        <v>3822.84</v>
      </c>
      <c r="G16" s="9"/>
      <c r="H16" s="10" t="n">
        <f aca="false">H14+H15</f>
        <v>5078.67</v>
      </c>
      <c r="I16" s="9"/>
      <c r="J16" s="10" t="n">
        <f aca="false">J14+J15</f>
        <v>0</v>
      </c>
      <c r="K16" s="9"/>
    </row>
    <row r="17" customFormat="false" ht="15" hidden="false" customHeight="false" outlineLevel="0" collapsed="false">
      <c r="A17" s="34" t="s">
        <v>315</v>
      </c>
      <c r="B17" s="34"/>
      <c r="C17" s="34"/>
      <c r="D17" s="34" t="n">
        <f aca="false">COUNTBLANK(C5:C13)</f>
        <v>2</v>
      </c>
      <c r="E17" s="34"/>
      <c r="F17" s="34" t="n">
        <f aca="false">COUNTBLANK(E5:E13)</f>
        <v>3</v>
      </c>
      <c r="G17" s="34"/>
      <c r="H17" s="34" t="n">
        <f aca="false">COUNTBLANK(G5:G13)</f>
        <v>3</v>
      </c>
      <c r="I17" s="34"/>
      <c r="J17" s="34" t="n">
        <f aca="false">COUNTBLANK(I5:I13)</f>
        <v>8</v>
      </c>
      <c r="K17" s="34"/>
    </row>
    <row r="18" customFormat="false" ht="15" hidden="false" customHeight="false" outlineLevel="0" collapsed="false">
      <c r="A18" s="34" t="s">
        <v>316</v>
      </c>
      <c r="B18" s="34"/>
      <c r="C18" s="34"/>
      <c r="D18" s="34"/>
      <c r="E18" s="34"/>
      <c r="F18" s="47" t="n">
        <f aca="false">IFERROR(SUMPRODUCT(($B$5:$B$12)*(E5:E12)*ISNUMBER($C$5:$C$12))/SUMPRODUCT(($B$5:$B$12)*($C$5:$C$12)*ISNUMBER(E5:E12)),"")</f>
        <v>1.13703935074419</v>
      </c>
      <c r="G18" s="34"/>
      <c r="H18" s="47" t="n">
        <f aca="false">IFERROR(SUMPRODUCT(($B$5:$B$12)*(G5:G12)*ISNUMBER($C$5:$C$12))/SUMPRODUCT(($B$5:$B$12)*($C$5:$C$12)*ISNUMBER(G5:G12)),"")</f>
        <v>1.47744846528467</v>
      </c>
      <c r="I18" s="34"/>
      <c r="J18" s="47" t="str">
        <f aca="false">IFERROR(SUMPRODUCT(($B$5:$B$12)*(I5:I12)*ISNUMBER($C$5:$C$12))/SUMPRODUCT(($B$5:$B$12)*($C$5:$C$12)*ISNUMBER(I5:I12)),"")</f>
        <v/>
      </c>
      <c r="K18" s="34"/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customFormat="false" ht="15" hidden="false" customHeight="false" outlineLevel="0" collapsed="false">
      <c r="A20" s="3" t="s">
        <v>317</v>
      </c>
      <c r="B20" s="2"/>
      <c r="C20" s="2"/>
      <c r="D20" s="2"/>
      <c r="E20" s="2"/>
      <c r="F20" s="2"/>
      <c r="G20" s="2"/>
      <c r="H20" s="2"/>
      <c r="I20" s="2"/>
      <c r="J20" s="2"/>
      <c r="K20" s="2"/>
    </row>
    <row r="21" customFormat="false" ht="15" hidden="false" customHeight="false" outlineLevel="0" collapsed="false">
      <c r="A21" s="3" t="s">
        <v>318</v>
      </c>
      <c r="B21" s="2"/>
      <c r="C21" s="2"/>
      <c r="D21" s="2"/>
      <c r="E21" s="2"/>
      <c r="F21" s="2"/>
      <c r="G21" s="2"/>
      <c r="H21" s="2"/>
      <c r="I21" s="2"/>
      <c r="J21" s="2"/>
      <c r="K21" s="2"/>
    </row>
    <row r="22" customFormat="false" ht="15" hidden="false" customHeight="false" outlineLevel="0" collapsed="false">
      <c r="A22" s="3" t="s">
        <v>319</v>
      </c>
      <c r="B22" s="2"/>
      <c r="C22" s="2"/>
      <c r="D22" s="2"/>
      <c r="E22" s="2"/>
      <c r="F22" s="2"/>
      <c r="G22" s="2"/>
      <c r="H22" s="2"/>
      <c r="I22" s="2"/>
      <c r="J22" s="2"/>
      <c r="K22" s="2"/>
    </row>
    <row r="23" customFormat="false" ht="15" hidden="false" customHeight="false" outlineLevel="0" collapsed="false">
      <c r="A23" s="3" t="s">
        <v>320</v>
      </c>
      <c r="B23" s="2"/>
      <c r="C23" s="2"/>
      <c r="D23" s="2"/>
      <c r="E23" s="2"/>
      <c r="F23" s="2"/>
      <c r="G23" s="2"/>
      <c r="H23" s="2"/>
      <c r="I23" s="2"/>
      <c r="J23" s="2"/>
      <c r="K2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2026-09-24T18:05:47Z</dcterms:created>
  <dc:creator>openpyxl</dc:creator>
  <dc:description/>
  <dc:language>en-US</dc:language>
  <cp:lastModifiedBy/>
  <dcterms:modified xsi:type="dcterms:W3CDTF">2026-09-24T18:05:47Z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